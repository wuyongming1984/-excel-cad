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940"/>
  </bookViews>
  <sheets>
    <sheet name="readme" sheetId="11" r:id="rId1"/>
    <sheet name="室外家具" sheetId="23" r:id="rId2"/>
    <sheet name="尚礼路" sheetId="22" r:id="rId3"/>
  </sheets>
  <definedNames>
    <definedName name="qdl">EVALUATE(#REF!)</definedName>
    <definedName name="L">EVALUATE(#REF!)</definedName>
  </definedNames>
  <calcPr calcId="144525"/>
</workbook>
</file>

<file path=xl/sharedStrings.xml><?xml version="1.0" encoding="utf-8"?>
<sst xmlns="http://schemas.openxmlformats.org/spreadsheetml/2006/main" count="244" uniqueCount="148">
  <si>
    <t>本脚本用于清单中的数据复核，通过CAD图元提取，形成可追溯数据源的工程量计算表</t>
  </si>
  <si>
    <t>工程量计算稿</t>
  </si>
  <si>
    <t>CAD取样</t>
  </si>
  <si>
    <t>生成的计算式</t>
  </si>
  <si>
    <t>序号</t>
  </si>
  <si>
    <t>分项名</t>
  </si>
  <si>
    <t>工程量计算式</t>
  </si>
  <si>
    <t>工程量</t>
  </si>
  <si>
    <t>单位</t>
  </si>
  <si>
    <t>单价</t>
  </si>
  <si>
    <t>合价</t>
  </si>
  <si>
    <t>备注</t>
  </si>
  <si>
    <t>图元类型</t>
  </si>
  <si>
    <t>句柄索引</t>
  </si>
  <si>
    <t>（L）</t>
  </si>
  <si>
    <t>（S）</t>
  </si>
  <si>
    <t>小计（L）</t>
  </si>
  <si>
    <t>小计（S）</t>
  </si>
  <si>
    <t>文件名</t>
  </si>
  <si>
    <t>广联达工程量表达式</t>
  </si>
  <si>
    <t>广联达导出计分部分项表</t>
  </si>
  <si>
    <t>EXCEL中</t>
  </si>
  <si>
    <t>将文件移入本计算表</t>
  </si>
  <si>
    <r>
      <rPr>
        <b/>
        <sz val="11"/>
        <color theme="1"/>
        <rFont val="宋体"/>
        <charset val="134"/>
        <scheme val="minor"/>
      </rPr>
      <t>检查AutoCAD的COM注册</t>
    </r>
    <r>
      <rPr>
        <sz val="11"/>
        <color theme="1"/>
        <rFont val="宋体"/>
        <charset val="134"/>
        <scheme val="minor"/>
      </rPr>
      <t>：</t>
    </r>
  </si>
  <si>
    <r>
      <rPr>
        <sz val="11"/>
        <color theme="1"/>
        <rFont val="宋体"/>
        <charset val="134"/>
        <scheme val="minor"/>
      </rPr>
      <t>复制代码至</t>
    </r>
    <r>
      <rPr>
        <sz val="11"/>
        <color theme="1"/>
        <rFont val="Arial Unicode MS"/>
        <charset val="134"/>
      </rPr>
      <t>cmd</t>
    </r>
  </si>
  <si>
    <r>
      <rPr>
        <sz val="11"/>
        <color theme="1"/>
        <rFont val="宋体"/>
        <charset val="134"/>
        <scheme val="minor"/>
      </rPr>
      <t>regsvr32 "C:\Program Files\Autodesk\AutoCAD 202X\acad.exe"</t>
    </r>
  </si>
  <si>
    <r>
      <rPr>
        <sz val="11"/>
        <color theme="1"/>
        <rFont val="宋体"/>
        <charset val="134"/>
        <scheme val="minor"/>
      </rPr>
      <t>请根据你的实际安装路径替换上述路径。</t>
    </r>
  </si>
  <si>
    <t>修改COM对象的全名</t>
  </si>
  <si>
    <t>Set AutoCAD应用 = CreateObject("AutoCAD.Application.24")</t>
  </si>
  <si>
    <t>这里的“24”是AutoCAD 2020的版本号，根据你的具体版本替换这个数字。</t>
  </si>
  <si>
    <r>
      <rPr>
        <sz val="11"/>
        <color theme="1"/>
        <rFont val="宋体"/>
        <charset val="134"/>
        <scheme val="minor"/>
      </rPr>
      <t xml:space="preserve">AutoCAD 2000: </t>
    </r>
    <r>
      <rPr>
        <sz val="11"/>
        <color theme="1"/>
        <rFont val="宋体"/>
        <charset val="134"/>
        <scheme val="minor"/>
      </rPr>
      <t>AutoCAD.Application.15</t>
    </r>
  </si>
  <si>
    <r>
      <rPr>
        <sz val="11"/>
        <color theme="1"/>
        <rFont val="宋体"/>
        <charset val="134"/>
        <scheme val="minor"/>
      </rPr>
      <t xml:space="preserve">AutoCAD 2002: </t>
    </r>
    <r>
      <rPr>
        <sz val="11"/>
        <color theme="1"/>
        <rFont val="宋体"/>
        <charset val="134"/>
        <scheme val="minor"/>
      </rPr>
      <t>AutoCAD.Application.16</t>
    </r>
  </si>
  <si>
    <r>
      <rPr>
        <sz val="11"/>
        <color theme="1"/>
        <rFont val="宋体"/>
        <charset val="134"/>
        <scheme val="minor"/>
      </rPr>
      <t xml:space="preserve">AutoCAD 2004: </t>
    </r>
    <r>
      <rPr>
        <sz val="11"/>
        <color theme="1"/>
        <rFont val="宋体"/>
        <charset val="134"/>
        <scheme val="minor"/>
      </rPr>
      <t>AutoCAD.Application.17</t>
    </r>
  </si>
  <si>
    <r>
      <rPr>
        <sz val="11"/>
        <color theme="1"/>
        <rFont val="宋体"/>
        <charset val="134"/>
        <scheme val="minor"/>
      </rPr>
      <t xml:space="preserve">AutoCAD 2005: </t>
    </r>
    <r>
      <rPr>
        <sz val="11"/>
        <color theme="1"/>
        <rFont val="宋体"/>
        <charset val="134"/>
        <scheme val="minor"/>
      </rPr>
      <t>AutoCAD.Application.17.1</t>
    </r>
  </si>
  <si>
    <r>
      <rPr>
        <sz val="11"/>
        <color theme="1"/>
        <rFont val="宋体"/>
        <charset val="134"/>
        <scheme val="minor"/>
      </rPr>
      <t xml:space="preserve">AutoCAD 2006: </t>
    </r>
    <r>
      <rPr>
        <sz val="11"/>
        <color theme="1"/>
        <rFont val="宋体"/>
        <charset val="134"/>
        <scheme val="minor"/>
      </rPr>
      <t>AutoCAD.Application.17.2</t>
    </r>
  </si>
  <si>
    <r>
      <rPr>
        <sz val="11"/>
        <color theme="1"/>
        <rFont val="宋体"/>
        <charset val="134"/>
        <scheme val="minor"/>
      </rPr>
      <t xml:space="preserve">AutoCAD 2007: </t>
    </r>
    <r>
      <rPr>
        <sz val="11"/>
        <color theme="1"/>
        <rFont val="宋体"/>
        <charset val="134"/>
        <scheme val="minor"/>
      </rPr>
      <t>AutoCAD.Application.17.3</t>
    </r>
  </si>
  <si>
    <r>
      <rPr>
        <sz val="11"/>
        <color theme="1"/>
        <rFont val="宋体"/>
        <charset val="134"/>
        <scheme val="minor"/>
      </rPr>
      <t xml:space="preserve">AutoCAD 2008: </t>
    </r>
    <r>
      <rPr>
        <sz val="11"/>
        <color theme="1"/>
        <rFont val="宋体"/>
        <charset val="134"/>
        <scheme val="minor"/>
      </rPr>
      <t>AutoCAD.Application.18</t>
    </r>
  </si>
  <si>
    <r>
      <rPr>
        <sz val="11"/>
        <color theme="1"/>
        <rFont val="宋体"/>
        <charset val="134"/>
        <scheme val="minor"/>
      </rPr>
      <t xml:space="preserve">AutoCAD 2009: </t>
    </r>
    <r>
      <rPr>
        <sz val="11"/>
        <color theme="1"/>
        <rFont val="宋体"/>
        <charset val="134"/>
        <scheme val="minor"/>
      </rPr>
      <t>AutoCAD.Application.18.1</t>
    </r>
  </si>
  <si>
    <r>
      <rPr>
        <sz val="11"/>
        <color theme="1"/>
        <rFont val="宋体"/>
        <charset val="134"/>
        <scheme val="minor"/>
      </rPr>
      <t xml:space="preserve">AutoCAD 2010: </t>
    </r>
    <r>
      <rPr>
        <sz val="11"/>
        <color theme="1"/>
        <rFont val="宋体"/>
        <charset val="134"/>
        <scheme val="minor"/>
      </rPr>
      <t>AutoCAD.Application.18.2</t>
    </r>
  </si>
  <si>
    <r>
      <rPr>
        <sz val="11"/>
        <color theme="1"/>
        <rFont val="宋体"/>
        <charset val="134"/>
        <scheme val="minor"/>
      </rPr>
      <t xml:space="preserve">AutoCAD 2011: </t>
    </r>
    <r>
      <rPr>
        <sz val="11"/>
        <color theme="1"/>
        <rFont val="宋体"/>
        <charset val="134"/>
        <scheme val="minor"/>
      </rPr>
      <t>AutoCAD.Application.18.3</t>
    </r>
  </si>
  <si>
    <r>
      <rPr>
        <sz val="11"/>
        <color theme="1"/>
        <rFont val="宋体"/>
        <charset val="134"/>
        <scheme val="minor"/>
      </rPr>
      <t xml:space="preserve">AutoCAD 2012: </t>
    </r>
    <r>
      <rPr>
        <sz val="11"/>
        <color theme="1"/>
        <rFont val="宋体"/>
        <charset val="134"/>
        <scheme val="minor"/>
      </rPr>
      <t>AutoCAD.Application.19</t>
    </r>
  </si>
  <si>
    <r>
      <rPr>
        <sz val="11"/>
        <color theme="1"/>
        <rFont val="宋体"/>
        <charset val="134"/>
        <scheme val="minor"/>
      </rPr>
      <t xml:space="preserve">AutoCAD 2013: </t>
    </r>
    <r>
      <rPr>
        <sz val="11"/>
        <color theme="1"/>
        <rFont val="宋体"/>
        <charset val="134"/>
        <scheme val="minor"/>
      </rPr>
      <t>AutoCAD.Application.19.1</t>
    </r>
  </si>
  <si>
    <r>
      <rPr>
        <sz val="11"/>
        <color theme="1"/>
        <rFont val="宋体"/>
        <charset val="134"/>
        <scheme val="minor"/>
      </rPr>
      <t xml:space="preserve">AutoCAD 2014: </t>
    </r>
    <r>
      <rPr>
        <sz val="11"/>
        <color theme="1"/>
        <rFont val="宋体"/>
        <charset val="134"/>
        <scheme val="minor"/>
      </rPr>
      <t>AutoCAD.Application.19.1.1</t>
    </r>
  </si>
  <si>
    <r>
      <rPr>
        <sz val="11"/>
        <color theme="1"/>
        <rFont val="宋体"/>
        <charset val="134"/>
        <scheme val="minor"/>
      </rPr>
      <t xml:space="preserve">AutoCAD 2015: </t>
    </r>
    <r>
      <rPr>
        <sz val="11"/>
        <color theme="1"/>
        <rFont val="宋体"/>
        <charset val="134"/>
        <scheme val="minor"/>
      </rPr>
      <t>AutoCAD.Application.20</t>
    </r>
  </si>
  <si>
    <r>
      <rPr>
        <sz val="11"/>
        <color theme="1"/>
        <rFont val="宋体"/>
        <charset val="134"/>
        <scheme val="minor"/>
      </rPr>
      <t xml:space="preserve">AutoCAD 2016: </t>
    </r>
    <r>
      <rPr>
        <sz val="11"/>
        <color theme="1"/>
        <rFont val="宋体"/>
        <charset val="134"/>
        <scheme val="minor"/>
      </rPr>
      <t>AutoCAD.Application.20.1</t>
    </r>
  </si>
  <si>
    <r>
      <rPr>
        <sz val="11"/>
        <color theme="1"/>
        <rFont val="宋体"/>
        <charset val="134"/>
        <scheme val="minor"/>
      </rPr>
      <t xml:space="preserve">AutoCAD 2017: </t>
    </r>
    <r>
      <rPr>
        <sz val="11"/>
        <color theme="1"/>
        <rFont val="宋体"/>
        <charset val="134"/>
        <scheme val="minor"/>
      </rPr>
      <t>AutoCAD.Application.21</t>
    </r>
  </si>
  <si>
    <r>
      <rPr>
        <sz val="11"/>
        <color theme="1"/>
        <rFont val="宋体"/>
        <charset val="134"/>
        <scheme val="minor"/>
      </rPr>
      <t xml:space="preserve">AutoCAD 2018: </t>
    </r>
    <r>
      <rPr>
        <sz val="11"/>
        <color theme="1"/>
        <rFont val="宋体"/>
        <charset val="134"/>
        <scheme val="minor"/>
      </rPr>
      <t>AutoCAD.Application.22</t>
    </r>
  </si>
  <si>
    <r>
      <rPr>
        <sz val="11"/>
        <color theme="1"/>
        <rFont val="宋体"/>
        <charset val="134"/>
        <scheme val="minor"/>
      </rPr>
      <t xml:space="preserve">AutoCAD 2019: </t>
    </r>
    <r>
      <rPr>
        <sz val="11"/>
        <color theme="1"/>
        <rFont val="宋体"/>
        <charset val="134"/>
        <scheme val="minor"/>
      </rPr>
      <t>AutoCAD.Application.23</t>
    </r>
  </si>
  <si>
    <r>
      <rPr>
        <sz val="11"/>
        <color theme="1"/>
        <rFont val="宋体"/>
        <charset val="134"/>
        <scheme val="minor"/>
      </rPr>
      <t xml:space="preserve">AutoCAD 2020: </t>
    </r>
    <r>
      <rPr>
        <sz val="11"/>
        <color theme="1"/>
        <rFont val="宋体"/>
        <charset val="134"/>
        <scheme val="minor"/>
      </rPr>
      <t>AutoCAD.Application.24</t>
    </r>
  </si>
  <si>
    <r>
      <rPr>
        <sz val="11"/>
        <color theme="1"/>
        <rFont val="宋体"/>
        <charset val="134"/>
        <scheme val="minor"/>
      </rPr>
      <t xml:space="preserve">AutoCAD 2021: </t>
    </r>
    <r>
      <rPr>
        <sz val="11"/>
        <color theme="1"/>
        <rFont val="宋体"/>
        <charset val="134"/>
        <scheme val="minor"/>
      </rPr>
      <t>AutoCAD.Application.25</t>
    </r>
  </si>
  <si>
    <r>
      <rPr>
        <sz val="11"/>
        <color theme="1"/>
        <rFont val="宋体"/>
        <charset val="134"/>
        <scheme val="minor"/>
      </rPr>
      <t xml:space="preserve">AutoCAD 2022: </t>
    </r>
    <r>
      <rPr>
        <sz val="11"/>
        <color theme="1"/>
        <rFont val="宋体"/>
        <charset val="134"/>
        <scheme val="minor"/>
      </rPr>
      <t>AutoCAD.Application.26</t>
    </r>
  </si>
  <si>
    <r>
      <rPr>
        <sz val="11"/>
        <color theme="1"/>
        <rFont val="宋体"/>
        <charset val="134"/>
        <scheme val="minor"/>
      </rPr>
      <t xml:space="preserve">AutoCAD 2023: </t>
    </r>
    <r>
      <rPr>
        <sz val="11"/>
        <color theme="1"/>
        <rFont val="宋体"/>
        <charset val="134"/>
        <scheme val="minor"/>
      </rPr>
      <t>AutoCAD.Application.27</t>
    </r>
  </si>
  <si>
    <t>acad.exe 如兼容模式运行属性取消管理员权限</t>
  </si>
  <si>
    <t>绿化算量中，可配合本人开发的"mm.lsp"提取文字信息</t>
  </si>
  <si>
    <t>分部分项工程和单价措施项目清单与计价表</t>
  </si>
  <si>
    <t xml:space="preserve"> 工程名称：奉贤区乐活和合绿道景观提升工程\室外家具\室外家具工程</t>
  </si>
  <si>
    <t>标段：C01</t>
  </si>
  <si>
    <t xml:space="preserve">第 1 页  共 1 页 </t>
  </si>
  <si>
    <t>项目编码</t>
  </si>
  <si>
    <t>项 目 名 称</t>
  </si>
  <si>
    <t>计量
单位</t>
  </si>
  <si>
    <t>金 额(元)</t>
  </si>
  <si>
    <t>综合单价</t>
  </si>
  <si>
    <t>合 价</t>
  </si>
  <si>
    <t>北区</t>
  </si>
  <si>
    <t xml:space="preserve"> 050307009001</t>
  </si>
  <si>
    <t xml:space="preserve">  一级导视（社区总导览牌）</t>
  </si>
  <si>
    <t>个</t>
  </si>
  <si>
    <t xml:space="preserve"> 补充材料001</t>
  </si>
  <si>
    <t xml:space="preserve"> 050307009002</t>
  </si>
  <si>
    <t xml:space="preserve">  二级导视（公园介绍牌）</t>
  </si>
  <si>
    <t xml:space="preserve"> 补充材料002</t>
  </si>
  <si>
    <t xml:space="preserve"> 050307009003</t>
  </si>
  <si>
    <t xml:space="preserve">  三级导视（景点介绍牌）</t>
  </si>
  <si>
    <t xml:space="preserve"> 补充材料003</t>
  </si>
  <si>
    <t xml:space="preserve"> 050307009004</t>
  </si>
  <si>
    <t xml:space="preserve">  四级导视（位置信息牌）</t>
  </si>
  <si>
    <t xml:space="preserve"> 补充材料004</t>
  </si>
  <si>
    <t xml:space="preserve"> 050307009005</t>
  </si>
  <si>
    <t xml:space="preserve">  LOGO牌 （铭牌/卫生间门牌）</t>
  </si>
  <si>
    <t xml:space="preserve"> 补充材料005</t>
  </si>
  <si>
    <t xml:space="preserve"> 050307009006</t>
  </si>
  <si>
    <t xml:space="preserve">  植物科普牌</t>
  </si>
  <si>
    <t xml:space="preserve"> 补充材料006</t>
  </si>
  <si>
    <t xml:space="preserve"> 050307009007</t>
  </si>
  <si>
    <t xml:space="preserve">  警示牌</t>
  </si>
  <si>
    <t xml:space="preserve"> 补充材料007</t>
  </si>
  <si>
    <t xml:space="preserve"> 050307009008</t>
  </si>
  <si>
    <t xml:space="preserve">  垃圾桶（AB分类组合）</t>
  </si>
  <si>
    <t xml:space="preserve"> 补充材料008</t>
  </si>
  <si>
    <t xml:space="preserve"> 050307009009</t>
  </si>
  <si>
    <t xml:space="preserve">  成品座凳（钢+木结构）</t>
  </si>
  <si>
    <t xml:space="preserve"> 补充材料009</t>
  </si>
  <si>
    <t>北区小计</t>
  </si>
  <si>
    <t>合    计</t>
  </si>
  <si>
    <t xml:space="preserve"> 工程名称：奉贤区乐活和合绿道景观提升工程\尚礼路延续段\市政工程</t>
  </si>
  <si>
    <t>道路接通</t>
  </si>
  <si>
    <t xml:space="preserve"> 040202001001</t>
  </si>
  <si>
    <t xml:space="preserve">  路床（槽）整形</t>
  </si>
  <si>
    <t>m2</t>
  </si>
  <si>
    <t xml:space="preserve"> 04-2-2-1</t>
  </si>
  <si>
    <t xml:space="preserve">  路床(槽)整形 车行道路基整修 一、二类土</t>
  </si>
  <si>
    <t xml:space="preserve"> 040202011001</t>
  </si>
  <si>
    <t xml:space="preserve">  碎石</t>
  </si>
  <si>
    <t xml:space="preserve"> 04-2-2-5换</t>
  </si>
  <si>
    <t xml:space="preserve">  碎石垫层 厚15cm</t>
  </si>
  <si>
    <t>100m2</t>
  </si>
  <si>
    <t xml:space="preserve"> 040202015001</t>
  </si>
  <si>
    <t xml:space="preserve">  水泥稳定碎石</t>
  </si>
  <si>
    <t xml:space="preserve"> 04-2-2-23换</t>
  </si>
  <si>
    <t xml:space="preserve">  机械摊铺厂拌水泥稳定碎石基层 厚20cm 厚度(cm):30</t>
  </si>
  <si>
    <t xml:space="preserve"> 04-2-2-24</t>
  </si>
  <si>
    <t xml:space="preserve">  机械摊铺厂拌水泥稳定碎石基层 ±1cm 水泥稳定碎石 掺入水泥5%</t>
  </si>
  <si>
    <t xml:space="preserve"> 040203004001</t>
  </si>
  <si>
    <t xml:space="preserve">  封层</t>
  </si>
  <si>
    <t>m4</t>
  </si>
  <si>
    <t xml:space="preserve"> 04-2-3-3换</t>
  </si>
  <si>
    <t xml:space="preserve">  稀浆封层 厚0.8cm 厚度(cm):0.6</t>
  </si>
  <si>
    <t xml:space="preserve"> 04-2-3-4</t>
  </si>
  <si>
    <t xml:space="preserve">  稀浆封层 ±0.1cm</t>
  </si>
  <si>
    <t xml:space="preserve"> 040203006001</t>
  </si>
  <si>
    <t xml:space="preserve">  粗粒式沥青混凝土</t>
  </si>
  <si>
    <t xml:space="preserve"> 04-2-3-8换</t>
  </si>
  <si>
    <t xml:space="preserve">  机械摊铺粗粒式沥青混凝土(AC-25) 厚8cm 厚度(cm):7 粗粒式沥青混凝土 AC-25</t>
  </si>
  <si>
    <t xml:space="preserve"> 04-2-3-9</t>
  </si>
  <si>
    <t xml:space="preserve">  机械摊铺粗粒式沥青混凝土(AC-25) ±1cm  粗粒式沥青混凝土 AC-25</t>
  </si>
  <si>
    <t xml:space="preserve"> 040203006002</t>
  </si>
  <si>
    <t xml:space="preserve">  细粒式沥青混凝土</t>
  </si>
  <si>
    <t xml:space="preserve"> 04-2-3-12换</t>
  </si>
  <si>
    <t xml:space="preserve">  机械摊铺细粒式沥青混凝土(AC-13) 厚3cm 厚度(cm):4 细粒式沥青混凝土 AC-13</t>
  </si>
  <si>
    <t xml:space="preserve"> 04-2-3-13</t>
  </si>
  <si>
    <t xml:space="preserve">  机械摊铺细粒式沥青混凝土(AC-13) ±1cm 细粒式沥青混凝土 AC-13</t>
  </si>
  <si>
    <t xml:space="preserve"> 040205006001</t>
  </si>
  <si>
    <t xml:space="preserve">  标线</t>
  </si>
  <si>
    <t xml:space="preserve"> 04-2-5-22</t>
  </si>
  <si>
    <t xml:space="preserve">  纵向线 热熔型涂料</t>
  </si>
  <si>
    <t>道路接通小计</t>
  </si>
  <si>
    <t>措施项目</t>
  </si>
  <si>
    <t xml:space="preserve"> 041106001003</t>
  </si>
  <si>
    <t xml:space="preserve">  大型机械设备进出场及安拆</t>
  </si>
  <si>
    <t>台．次</t>
  </si>
  <si>
    <t xml:space="preserve"> 04-7-10-20</t>
  </si>
  <si>
    <t xml:space="preserve">  压路机(综合)场外运输费</t>
  </si>
  <si>
    <t>台·次</t>
  </si>
  <si>
    <t xml:space="preserve"> 041106001004</t>
  </si>
  <si>
    <t xml:space="preserve"> 04-7-10-21</t>
  </si>
  <si>
    <t xml:space="preserve">  沥青混凝土摊铺机场外运输费</t>
  </si>
  <si>
    <t>措施项目小计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</si>
</sst>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b/>
      <sz val="16"/>
      <color theme="1"/>
      <name val="方正大黑简体"/>
      <charset val="134"/>
    </font>
    <font>
      <b/>
      <sz val="12"/>
      <color theme="1"/>
      <name val="方正大黑简体"/>
      <charset val="134"/>
    </font>
    <font>
      <sz val="9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9"/>
      <color rgb="FF004270"/>
      <name val="华文彩云"/>
      <charset val="134"/>
    </font>
    <font>
      <b/>
      <sz val="24"/>
      <name val="黑体"/>
      <charset val="134"/>
    </font>
    <font>
      <sz val="10"/>
      <name val="宋体"/>
      <charset val="134"/>
    </font>
    <font>
      <sz val="9"/>
      <name val="宋体"/>
      <charset val="134"/>
    </font>
    <font>
      <b/>
      <sz val="16"/>
      <name val="方正大黑简体"/>
      <charset val="134"/>
    </font>
    <font>
      <b/>
      <sz val="12"/>
      <name val="方正大黑简体"/>
      <charset val="134"/>
    </font>
    <font>
      <b/>
      <sz val="9"/>
      <name val="宋体"/>
      <charset val="134"/>
    </font>
    <font>
      <b/>
      <sz val="16"/>
      <color theme="1"/>
      <name val="宋体"/>
      <charset val="134"/>
    </font>
    <font>
      <b/>
      <sz val="12"/>
      <color theme="1"/>
      <name val="宋体"/>
      <charset val="134"/>
    </font>
    <font>
      <b/>
      <sz val="16"/>
      <color rgb="FF000000"/>
      <name val="宋体"/>
      <charset val="134"/>
      <scheme val="minor"/>
    </font>
    <font>
      <sz val="9"/>
      <color rgb="FF000000"/>
      <name val="宋体"/>
      <charset val="134"/>
      <scheme val="minor"/>
    </font>
    <font>
      <b/>
      <sz val="16"/>
      <color rgb="FF004270"/>
      <name val="方正大黑简体"/>
      <charset val="134"/>
    </font>
    <font>
      <b/>
      <sz val="12"/>
      <color rgb="FF004270"/>
      <name val="方正大黑简体"/>
      <charset val="134"/>
    </font>
    <font>
      <b/>
      <sz val="10"/>
      <name val="宋体"/>
      <charset val="134"/>
    </font>
    <font>
      <b/>
      <sz val="14"/>
      <color theme="1"/>
      <name val="方正大黑简体"/>
      <charset val="134"/>
    </font>
    <font>
      <b/>
      <sz val="11"/>
      <color theme="1"/>
      <name val="宋体"/>
      <charset val="134"/>
      <scheme val="minor"/>
    </font>
    <font>
      <sz val="10"/>
      <color theme="1"/>
      <name val="Arial Unicode MS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1"/>
      <name val="Arial Unicode MS"/>
      <charset val="134"/>
    </font>
  </fonts>
  <fills count="39">
    <fill>
      <patternFill patternType="none"/>
    </fill>
    <fill>
      <patternFill patternType="gray125"/>
    </fill>
    <fill>
      <patternFill patternType="solid">
        <fgColor rgb="FFFAF9D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4E3F3"/>
        <bgColor indexed="64"/>
      </patternFill>
    </fill>
    <fill>
      <patternFill patternType="solid">
        <fgColor rgb="FFF3D9C5"/>
        <bgColor indexed="64"/>
      </patternFill>
    </fill>
    <fill>
      <patternFill patternType="solid">
        <fgColor indexed="9"/>
        <bgColor indexed="1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2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13" borderId="25" applyNumberFormat="0" applyFont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26" applyNumberFormat="0" applyFill="0" applyAlignment="0" applyProtection="0">
      <alignment vertical="center"/>
    </xf>
    <xf numFmtId="0" fontId="33" fillId="0" borderId="26" applyNumberFormat="0" applyFill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8" fillId="0" borderId="27" applyNumberFormat="0" applyFill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34" fillId="17" borderId="28" applyNumberFormat="0" applyAlignment="0" applyProtection="0">
      <alignment vertical="center"/>
    </xf>
    <xf numFmtId="0" fontId="35" fillId="17" borderId="24" applyNumberFormat="0" applyAlignment="0" applyProtection="0">
      <alignment vertical="center"/>
    </xf>
    <xf numFmtId="0" fontId="36" fillId="18" borderId="29" applyNumberFormat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37" fillId="0" borderId="30" applyNumberFormat="0" applyFill="0" applyAlignment="0" applyProtection="0">
      <alignment vertical="center"/>
    </xf>
    <xf numFmtId="0" fontId="38" fillId="0" borderId="31" applyNumberFormat="0" applyFill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3" fillId="0" borderId="0"/>
  </cellStyleXfs>
  <cellXfs count="155">
    <xf numFmtId="0" fontId="0" fillId="0" borderId="0" xfId="0">
      <alignment vertical="center"/>
    </xf>
    <xf numFmtId="0" fontId="1" fillId="0" borderId="0" xfId="52" applyFont="1" applyFill="1" applyAlignment="1"/>
    <xf numFmtId="0" fontId="2" fillId="0" borderId="0" xfId="52" applyFont="1" applyFill="1" applyAlignment="1"/>
    <xf numFmtId="0" fontId="3" fillId="0" borderId="0" xfId="52" applyFont="1" applyFill="1" applyAlignment="1"/>
    <xf numFmtId="0" fontId="4" fillId="0" borderId="1" xfId="52" applyFont="1" applyFill="1" applyBorder="1" applyAlignment="1">
      <alignment horizontal="left"/>
    </xf>
    <xf numFmtId="0" fontId="3" fillId="0" borderId="1" xfId="52" applyFont="1" applyFill="1" applyBorder="1" applyAlignment="1">
      <alignment horizontal="left"/>
    </xf>
    <xf numFmtId="0" fontId="3" fillId="0" borderId="1" xfId="52" applyFont="1" applyFill="1" applyBorder="1" applyAlignment="1">
      <alignment wrapText="1"/>
    </xf>
    <xf numFmtId="0" fontId="3" fillId="0" borderId="1" xfId="52" applyFont="1" applyFill="1" applyBorder="1" applyAlignment="1"/>
    <xf numFmtId="0" fontId="3" fillId="0" borderId="1" xfId="52" applyFont="1" applyFill="1" applyBorder="1" applyAlignment="1">
      <alignment horizontal="center"/>
    </xf>
    <xf numFmtId="2" fontId="3" fillId="0" borderId="1" xfId="52" applyNumberFormat="1" applyFont="1" applyFill="1" applyBorder="1" applyAlignment="1">
      <alignment horizontal="center"/>
    </xf>
    <xf numFmtId="0" fontId="3" fillId="2" borderId="1" xfId="52" applyFont="1" applyFill="1" applyBorder="1" applyAlignment="1">
      <alignment horizontal="left"/>
    </xf>
    <xf numFmtId="49" fontId="5" fillId="2" borderId="1" xfId="52" applyNumberFormat="1" applyFont="1" applyFill="1" applyBorder="1" applyAlignment="1">
      <alignment horizontal="left"/>
    </xf>
    <xf numFmtId="2" fontId="3" fillId="0" borderId="1" xfId="52" applyNumberFormat="1" applyFont="1" applyFill="1" applyBorder="1" applyAlignment="1">
      <alignment horizontal="left"/>
    </xf>
    <xf numFmtId="2" fontId="3" fillId="0" borderId="1" xfId="52" applyNumberFormat="1" applyFont="1" applyFill="1" applyBorder="1" applyAlignment="1"/>
    <xf numFmtId="0" fontId="6" fillId="0" borderId="0" xfId="52" applyFont="1" applyFill="1" applyAlignment="1">
      <alignment horizontal="center" vertical="center" wrapText="1"/>
    </xf>
    <xf numFmtId="0" fontId="6" fillId="0" borderId="0" xfId="52" applyFont="1" applyFill="1" applyAlignment="1">
      <alignment horizontal="right" vertical="center" wrapText="1"/>
    </xf>
    <xf numFmtId="0" fontId="7" fillId="0" borderId="0" xfId="52" applyFont="1" applyFill="1" applyAlignment="1">
      <alignment horizontal="left" wrapText="1"/>
    </xf>
    <xf numFmtId="0" fontId="8" fillId="0" borderId="0" xfId="52" applyFont="1" applyFill="1" applyAlignment="1">
      <alignment horizontal="left" wrapText="1"/>
    </xf>
    <xf numFmtId="0" fontId="8" fillId="0" borderId="0" xfId="52" applyFont="1" applyFill="1" applyAlignment="1">
      <alignment horizontal="right" wrapText="1"/>
    </xf>
    <xf numFmtId="0" fontId="9" fillId="0" borderId="2" xfId="52" applyFont="1" applyFill="1" applyBorder="1" applyAlignment="1">
      <alignment horizontal="center" vertical="center" wrapText="1"/>
    </xf>
    <xf numFmtId="0" fontId="9" fillId="0" borderId="3" xfId="52" applyFont="1" applyFill="1" applyBorder="1" applyAlignment="1">
      <alignment horizontal="center" vertical="center" wrapText="1"/>
    </xf>
    <xf numFmtId="0" fontId="9" fillId="0" borderId="4" xfId="52" applyFont="1" applyFill="1" applyBorder="1" applyAlignment="1">
      <alignment horizontal="center" vertical="center" wrapText="1"/>
    </xf>
    <xf numFmtId="0" fontId="10" fillId="0" borderId="5" xfId="52" applyFont="1" applyFill="1" applyBorder="1" applyAlignment="1">
      <alignment horizontal="center" vertical="center" wrapText="1"/>
    </xf>
    <xf numFmtId="0" fontId="10" fillId="0" borderId="6" xfId="52" applyFont="1" applyFill="1" applyBorder="1" applyAlignment="1">
      <alignment horizontal="center" vertical="center" wrapText="1"/>
    </xf>
    <xf numFmtId="0" fontId="10" fillId="0" borderId="7" xfId="52" applyFont="1" applyFill="1" applyBorder="1" applyAlignment="1">
      <alignment horizontal="center" vertical="center" wrapText="1"/>
    </xf>
    <xf numFmtId="0" fontId="8" fillId="3" borderId="5" xfId="52" applyFont="1" applyFill="1" applyBorder="1" applyAlignment="1">
      <alignment horizontal="left" vertical="center" wrapText="1"/>
    </xf>
    <xf numFmtId="0" fontId="8" fillId="3" borderId="6" xfId="52" applyFont="1" applyFill="1" applyBorder="1" applyAlignment="1">
      <alignment horizontal="left" vertical="center" wrapText="1"/>
    </xf>
    <xf numFmtId="0" fontId="11" fillId="3" borderId="6" xfId="52" applyFont="1" applyFill="1" applyBorder="1" applyAlignment="1">
      <alignment horizontal="center" vertical="center" wrapText="1"/>
    </xf>
    <xf numFmtId="0" fontId="8" fillId="3" borderId="7" xfId="52" applyFont="1" applyFill="1" applyBorder="1" applyAlignment="1">
      <alignment horizontal="left" vertical="center" wrapText="1"/>
    </xf>
    <xf numFmtId="0" fontId="8" fillId="4" borderId="8" xfId="52" applyFont="1" applyFill="1" applyBorder="1" applyAlignment="1">
      <alignment horizontal="left" vertical="center" wrapText="1"/>
    </xf>
    <xf numFmtId="0" fontId="8" fillId="4" borderId="9" xfId="52" applyFont="1" applyFill="1" applyBorder="1" applyAlignment="1">
      <alignment horizontal="left" vertical="center" wrapText="1"/>
    </xf>
    <xf numFmtId="0" fontId="8" fillId="4" borderId="10" xfId="52" applyFont="1" applyFill="1" applyBorder="1" applyAlignment="1">
      <alignment horizontal="left" vertical="center" wrapText="1"/>
    </xf>
    <xf numFmtId="0" fontId="8" fillId="4" borderId="11" xfId="52" applyFont="1" applyFill="1" applyBorder="1" applyAlignment="1">
      <alignment horizontal="left" vertical="center" wrapText="1"/>
    </xf>
    <xf numFmtId="0" fontId="8" fillId="4" borderId="12" xfId="52" applyFont="1" applyFill="1" applyBorder="1" applyAlignment="1">
      <alignment horizontal="left" vertical="center" wrapText="1"/>
    </xf>
    <xf numFmtId="0" fontId="8" fillId="3" borderId="13" xfId="52" applyFont="1" applyFill="1" applyBorder="1" applyAlignment="1">
      <alignment horizontal="left" vertical="center" wrapText="1"/>
    </xf>
    <xf numFmtId="0" fontId="8" fillId="3" borderId="14" xfId="52" applyFont="1" applyFill="1" applyBorder="1" applyAlignment="1">
      <alignment horizontal="left" vertical="center" wrapText="1"/>
    </xf>
    <xf numFmtId="0" fontId="8" fillId="3" borderId="15" xfId="52" applyFont="1" applyFill="1" applyBorder="1" applyAlignment="1">
      <alignment horizontal="left" vertical="center" wrapText="1"/>
    </xf>
    <xf numFmtId="0" fontId="8" fillId="3" borderId="16" xfId="52" applyFont="1" applyFill="1" applyBorder="1" applyAlignment="1">
      <alignment horizontal="left" vertical="center" wrapText="1"/>
    </xf>
    <xf numFmtId="0" fontId="8" fillId="3" borderId="17" xfId="52" applyFont="1" applyFill="1" applyBorder="1" applyAlignment="1">
      <alignment horizontal="left" vertical="center" wrapText="1"/>
    </xf>
    <xf numFmtId="0" fontId="8" fillId="0" borderId="5" xfId="52" applyFont="1" applyFill="1" applyBorder="1" applyAlignment="1">
      <alignment horizontal="left" vertical="center" wrapText="1"/>
    </xf>
    <xf numFmtId="0" fontId="8" fillId="0" borderId="6" xfId="52" applyFont="1" applyFill="1" applyBorder="1" applyAlignment="1">
      <alignment horizontal="left" vertical="center" wrapText="1"/>
    </xf>
    <xf numFmtId="0" fontId="8" fillId="0" borderId="6" xfId="52" applyFont="1" applyFill="1" applyBorder="1" applyAlignment="1">
      <alignment horizontal="center" vertical="center" wrapText="1"/>
    </xf>
    <xf numFmtId="0" fontId="8" fillId="0" borderId="6" xfId="52" applyFont="1" applyFill="1" applyBorder="1" applyAlignment="1">
      <alignment horizontal="right" vertical="center" wrapText="1"/>
    </xf>
    <xf numFmtId="0" fontId="8" fillId="0" borderId="7" xfId="52" applyFont="1" applyFill="1" applyBorder="1" applyAlignment="1">
      <alignment horizontal="right" vertical="center" wrapText="1"/>
    </xf>
    <xf numFmtId="0" fontId="8" fillId="4" borderId="13" xfId="52" applyFont="1" applyFill="1" applyBorder="1" applyAlignment="1">
      <alignment horizontal="left" vertical="center" wrapText="1"/>
    </xf>
    <xf numFmtId="0" fontId="8" fillId="4" borderId="14" xfId="52" applyFont="1" applyFill="1" applyBorder="1" applyAlignment="1">
      <alignment horizontal="left" vertical="center" wrapText="1"/>
    </xf>
    <xf numFmtId="0" fontId="8" fillId="4" borderId="15" xfId="52" applyFont="1" applyFill="1" applyBorder="1" applyAlignment="1">
      <alignment horizontal="left" vertical="center" wrapText="1"/>
    </xf>
    <xf numFmtId="0" fontId="8" fillId="4" borderId="16" xfId="52" applyFont="1" applyFill="1" applyBorder="1" applyAlignment="1">
      <alignment horizontal="left" vertical="center" wrapText="1"/>
    </xf>
    <xf numFmtId="0" fontId="8" fillId="4" borderId="17" xfId="52" applyFont="1" applyFill="1" applyBorder="1" applyAlignment="1">
      <alignment horizontal="left" vertical="center" wrapText="1"/>
    </xf>
    <xf numFmtId="0" fontId="8" fillId="4" borderId="5" xfId="52" applyFont="1" applyFill="1" applyBorder="1" applyAlignment="1">
      <alignment horizontal="center" vertical="center" wrapText="1"/>
    </xf>
    <xf numFmtId="0" fontId="8" fillId="4" borderId="6" xfId="52" applyFont="1" applyFill="1" applyBorder="1" applyAlignment="1">
      <alignment horizontal="left" vertical="center" wrapText="1"/>
    </xf>
    <xf numFmtId="0" fontId="8" fillId="4" borderId="6" xfId="52" applyFont="1" applyFill="1" applyBorder="1" applyAlignment="1">
      <alignment horizontal="center" vertical="center" wrapText="1"/>
    </xf>
    <xf numFmtId="0" fontId="8" fillId="4" borderId="6" xfId="52" applyFont="1" applyFill="1" applyBorder="1" applyAlignment="1">
      <alignment horizontal="right" vertical="center" wrapText="1"/>
    </xf>
    <xf numFmtId="0" fontId="8" fillId="4" borderId="7" xfId="52" applyFont="1" applyFill="1" applyBorder="1" applyAlignment="1">
      <alignment horizontal="right" vertical="center" wrapText="1"/>
    </xf>
    <xf numFmtId="0" fontId="8" fillId="0" borderId="5" xfId="52" applyFont="1" applyFill="1" applyBorder="1" applyAlignment="1">
      <alignment horizontal="center" vertical="center" wrapText="1"/>
    </xf>
    <xf numFmtId="0" fontId="11" fillId="0" borderId="7" xfId="52" applyFont="1" applyFill="1" applyBorder="1" applyAlignment="1">
      <alignment horizontal="right" vertical="center" wrapText="1"/>
    </xf>
    <xf numFmtId="0" fontId="8" fillId="0" borderId="18" xfId="52" applyFont="1" applyFill="1" applyBorder="1" applyAlignment="1">
      <alignment horizontal="center" vertical="center" wrapText="1"/>
    </xf>
    <xf numFmtId="0" fontId="8" fillId="0" borderId="19" xfId="52" applyFont="1" applyFill="1" applyBorder="1" applyAlignment="1">
      <alignment horizontal="center" vertical="center" wrapText="1"/>
    </xf>
    <xf numFmtId="0" fontId="11" fillId="0" borderId="20" xfId="52" applyFont="1" applyFill="1" applyBorder="1" applyAlignment="1">
      <alignment horizontal="right" vertical="center" wrapText="1"/>
    </xf>
    <xf numFmtId="0" fontId="3" fillId="0" borderId="0" xfId="52" applyFont="1" applyFill="1" applyAlignment="1">
      <alignment horizontal="left" vertical="center"/>
    </xf>
    <xf numFmtId="0" fontId="1" fillId="5" borderId="21" xfId="52" applyFont="1" applyFill="1" applyBorder="1" applyAlignment="1">
      <alignment horizontal="center" vertical="center"/>
    </xf>
    <xf numFmtId="0" fontId="1" fillId="5" borderId="22" xfId="52" applyFont="1" applyFill="1" applyBorder="1" applyAlignment="1">
      <alignment horizontal="center" vertical="center"/>
    </xf>
    <xf numFmtId="0" fontId="1" fillId="5" borderId="1" xfId="52" applyFont="1" applyFill="1" applyBorder="1" applyAlignment="1">
      <alignment horizontal="center" vertical="center"/>
    </xf>
    <xf numFmtId="0" fontId="2" fillId="5" borderId="1" xfId="52" applyFont="1" applyFill="1" applyBorder="1" applyAlignment="1">
      <alignment horizontal="center" vertical="center"/>
    </xf>
    <xf numFmtId="0" fontId="2" fillId="5" borderId="1" xfId="52" applyFont="1" applyFill="1" applyBorder="1" applyAlignment="1">
      <alignment horizontal="center" vertical="center" wrapText="1"/>
    </xf>
    <xf numFmtId="2" fontId="2" fillId="5" borderId="1" xfId="52" applyNumberFormat="1" applyFont="1" applyFill="1" applyBorder="1" applyAlignment="1">
      <alignment horizontal="center" vertical="center"/>
    </xf>
    <xf numFmtId="0" fontId="12" fillId="3" borderId="1" xfId="52" applyFont="1" applyFill="1" applyBorder="1" applyAlignment="1">
      <alignment horizontal="left"/>
    </xf>
    <xf numFmtId="0" fontId="13" fillId="3" borderId="1" xfId="52" applyFont="1" applyFill="1" applyBorder="1" applyAlignment="1">
      <alignment horizontal="left"/>
    </xf>
    <xf numFmtId="0" fontId="13" fillId="3" borderId="1" xfId="52" applyFont="1" applyFill="1" applyBorder="1" applyAlignment="1">
      <alignment horizontal="left" wrapText="1"/>
    </xf>
    <xf numFmtId="0" fontId="13" fillId="3" borderId="1" xfId="52" applyFont="1" applyFill="1" applyBorder="1" applyAlignment="1">
      <alignment horizontal="center"/>
    </xf>
    <xf numFmtId="2" fontId="13" fillId="3" borderId="1" xfId="52" applyNumberFormat="1" applyFont="1" applyFill="1" applyBorder="1" applyAlignment="1">
      <alignment horizontal="center"/>
    </xf>
    <xf numFmtId="0" fontId="14" fillId="0" borderId="1" xfId="52" applyFont="1" applyFill="1" applyBorder="1" applyAlignment="1">
      <alignment horizontal="left" vertical="center"/>
    </xf>
    <xf numFmtId="0" fontId="15" fillId="4" borderId="1" xfId="52" applyFont="1" applyFill="1" applyBorder="1" applyAlignment="1">
      <alignment horizontal="left" vertical="center"/>
    </xf>
    <xf numFmtId="0" fontId="15" fillId="4" borderId="1" xfId="52" applyFont="1" applyFill="1" applyBorder="1" applyAlignment="1">
      <alignment horizontal="left" vertical="center" wrapText="1"/>
    </xf>
    <xf numFmtId="0" fontId="15" fillId="4" borderId="1" xfId="52" applyFont="1" applyFill="1" applyBorder="1" applyAlignment="1">
      <alignment horizontal="center" vertical="center"/>
    </xf>
    <xf numFmtId="2" fontId="15" fillId="4" borderId="1" xfId="52" applyNumberFormat="1" applyFont="1" applyFill="1" applyBorder="1" applyAlignment="1">
      <alignment horizontal="center" vertical="center"/>
    </xf>
    <xf numFmtId="0" fontId="4" fillId="3" borderId="1" xfId="52" applyFont="1" applyFill="1" applyBorder="1" applyAlignment="1">
      <alignment horizontal="left" vertical="center"/>
    </xf>
    <xf numFmtId="0" fontId="3" fillId="0" borderId="1" xfId="52" applyFont="1" applyFill="1" applyBorder="1" applyAlignment="1">
      <alignment horizontal="left" vertical="center"/>
    </xf>
    <xf numFmtId="0" fontId="3" fillId="0" borderId="1" xfId="52" applyFont="1" applyFill="1" applyBorder="1" applyAlignment="1">
      <alignment horizontal="left" vertical="center" wrapText="1"/>
    </xf>
    <xf numFmtId="0" fontId="3" fillId="0" borderId="1" xfId="52" applyFont="1" applyFill="1" applyBorder="1" applyAlignment="1">
      <alignment horizontal="center" vertical="center"/>
    </xf>
    <xf numFmtId="2" fontId="3" fillId="0" borderId="1" xfId="52" applyNumberFormat="1" applyFont="1" applyFill="1" applyBorder="1" applyAlignment="1">
      <alignment horizontal="center" vertical="center"/>
    </xf>
    <xf numFmtId="0" fontId="4" fillId="0" borderId="1" xfId="52" applyFont="1" applyFill="1" applyBorder="1" applyAlignment="1">
      <alignment horizontal="left" vertical="center"/>
    </xf>
    <xf numFmtId="0" fontId="3" fillId="4" borderId="1" xfId="52" applyFont="1" applyFill="1" applyBorder="1" applyAlignment="1">
      <alignment horizontal="left" vertical="center"/>
    </xf>
    <xf numFmtId="0" fontId="3" fillId="4" borderId="1" xfId="52" applyFont="1" applyFill="1" applyBorder="1" applyAlignment="1">
      <alignment horizontal="left" vertical="center" wrapText="1"/>
    </xf>
    <xf numFmtId="0" fontId="3" fillId="4" borderId="1" xfId="52" applyFont="1" applyFill="1" applyBorder="1" applyAlignment="1">
      <alignment horizontal="center" vertical="center"/>
    </xf>
    <xf numFmtId="2" fontId="3" fillId="4" borderId="1" xfId="52" applyNumberFormat="1" applyFont="1" applyFill="1" applyBorder="1" applyAlignment="1">
      <alignment horizontal="center" vertical="center"/>
    </xf>
    <xf numFmtId="0" fontId="3" fillId="4" borderId="1" xfId="52" applyFont="1" applyFill="1" applyBorder="1" applyAlignment="1">
      <alignment horizontal="left"/>
    </xf>
    <xf numFmtId="0" fontId="1" fillId="5" borderId="23" xfId="52" applyFont="1" applyFill="1" applyBorder="1" applyAlignment="1">
      <alignment horizontal="center" vertical="center"/>
    </xf>
    <xf numFmtId="49" fontId="16" fillId="5" borderId="22" xfId="52" applyNumberFormat="1" applyFont="1" applyFill="1" applyBorder="1" applyAlignment="1">
      <alignment horizontal="center" vertical="center"/>
    </xf>
    <xf numFmtId="49" fontId="17" fillId="5" borderId="1" xfId="52" applyNumberFormat="1" applyFont="1" applyFill="1" applyBorder="1" applyAlignment="1">
      <alignment horizontal="center" vertical="center"/>
    </xf>
    <xf numFmtId="0" fontId="15" fillId="2" borderId="1" xfId="52" applyFont="1" applyFill="1" applyBorder="1" applyAlignment="1">
      <alignment horizontal="left"/>
    </xf>
    <xf numFmtId="2" fontId="3" fillId="0" borderId="1" xfId="52" applyNumberFormat="1" applyFont="1" applyFill="1" applyBorder="1" applyAlignment="1">
      <alignment horizontal="left" vertical="center"/>
    </xf>
    <xf numFmtId="0" fontId="6" fillId="6" borderId="0" xfId="52" applyFont="1" applyFill="1" applyAlignment="1">
      <alignment horizontal="center" vertical="center" wrapText="1"/>
    </xf>
    <xf numFmtId="0" fontId="6" fillId="6" borderId="0" xfId="52" applyFont="1" applyFill="1" applyAlignment="1">
      <alignment horizontal="right" vertical="center" wrapText="1"/>
    </xf>
    <xf numFmtId="0" fontId="7" fillId="6" borderId="0" xfId="52" applyFont="1" applyFill="1" applyAlignment="1">
      <alignment horizontal="left" wrapText="1"/>
    </xf>
    <xf numFmtId="0" fontId="8" fillId="6" borderId="0" xfId="52" applyFont="1" applyFill="1" applyAlignment="1">
      <alignment horizontal="left" wrapText="1"/>
    </xf>
    <xf numFmtId="0" fontId="8" fillId="6" borderId="0" xfId="52" applyFont="1" applyFill="1" applyAlignment="1">
      <alignment horizontal="right" wrapText="1"/>
    </xf>
    <xf numFmtId="0" fontId="18" fillId="6" borderId="2" xfId="52" applyFont="1" applyFill="1" applyBorder="1" applyAlignment="1">
      <alignment horizontal="center" vertical="center" wrapText="1"/>
    </xf>
    <xf numFmtId="0" fontId="18" fillId="6" borderId="3" xfId="52" applyFont="1" applyFill="1" applyBorder="1" applyAlignment="1">
      <alignment horizontal="center" vertical="center" wrapText="1"/>
    </xf>
    <xf numFmtId="0" fontId="18" fillId="6" borderId="4" xfId="52" applyFont="1" applyFill="1" applyBorder="1" applyAlignment="1">
      <alignment horizontal="center" vertical="center" wrapText="1"/>
    </xf>
    <xf numFmtId="0" fontId="18" fillId="6" borderId="5" xfId="52" applyFont="1" applyFill="1" applyBorder="1" applyAlignment="1">
      <alignment horizontal="center" vertical="center" wrapText="1"/>
    </xf>
    <xf numFmtId="0" fontId="18" fillId="6" borderId="6" xfId="52" applyFont="1" applyFill="1" applyBorder="1" applyAlignment="1">
      <alignment horizontal="center" vertical="center" wrapText="1"/>
    </xf>
    <xf numFmtId="0" fontId="18" fillId="6" borderId="7" xfId="52" applyFont="1" applyFill="1" applyBorder="1" applyAlignment="1">
      <alignment horizontal="center" vertical="center" wrapText="1"/>
    </xf>
    <xf numFmtId="0" fontId="8" fillId="6" borderId="5" xfId="52" applyFont="1" applyFill="1" applyBorder="1" applyAlignment="1">
      <alignment horizontal="left" vertical="center" wrapText="1"/>
    </xf>
    <xf numFmtId="0" fontId="8" fillId="6" borderId="6" xfId="52" applyFont="1" applyFill="1" applyBorder="1" applyAlignment="1">
      <alignment horizontal="left" vertical="center" wrapText="1"/>
    </xf>
    <xf numFmtId="0" fontId="11" fillId="6" borderId="6" xfId="52" applyFont="1" applyFill="1" applyBorder="1" applyAlignment="1">
      <alignment horizontal="center" vertical="center" wrapText="1"/>
    </xf>
    <xf numFmtId="0" fontId="8" fillId="6" borderId="7" xfId="52" applyFont="1" applyFill="1" applyBorder="1" applyAlignment="1">
      <alignment horizontal="left" vertical="center" wrapText="1"/>
    </xf>
    <xf numFmtId="0" fontId="8" fillId="6" borderId="5" xfId="52" applyFont="1" applyFill="1" applyBorder="1" applyAlignment="1">
      <alignment horizontal="center" vertical="center" wrapText="1"/>
    </xf>
    <xf numFmtId="0" fontId="8" fillId="6" borderId="6" xfId="52" applyFont="1" applyFill="1" applyBorder="1" applyAlignment="1">
      <alignment horizontal="center" vertical="center" wrapText="1"/>
    </xf>
    <xf numFmtId="0" fontId="8" fillId="6" borderId="6" xfId="52" applyFont="1" applyFill="1" applyBorder="1" applyAlignment="1">
      <alignment horizontal="right" vertical="center" wrapText="1"/>
    </xf>
    <xf numFmtId="0" fontId="8" fillId="6" borderId="7" xfId="52" applyFont="1" applyFill="1" applyBorder="1" applyAlignment="1">
      <alignment horizontal="right" vertical="center" wrapText="1"/>
    </xf>
    <xf numFmtId="0" fontId="11" fillId="6" borderId="7" xfId="52" applyFont="1" applyFill="1" applyBorder="1" applyAlignment="1">
      <alignment horizontal="right" vertical="center" wrapText="1"/>
    </xf>
    <xf numFmtId="0" fontId="8" fillId="6" borderId="18" xfId="52" applyFont="1" applyFill="1" applyBorder="1" applyAlignment="1">
      <alignment horizontal="center" vertical="center" wrapText="1"/>
    </xf>
    <xf numFmtId="0" fontId="8" fillId="6" borderId="19" xfId="52" applyFont="1" applyFill="1" applyBorder="1" applyAlignment="1">
      <alignment horizontal="center" vertical="center" wrapText="1"/>
    </xf>
    <xf numFmtId="0" fontId="11" fillId="6" borderId="20" xfId="52" applyFont="1" applyFill="1" applyBorder="1" applyAlignment="1">
      <alignment horizontal="right" vertical="center" wrapText="1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2" fontId="0" fillId="0" borderId="1" xfId="0" applyNumberFormat="1" applyBorder="1">
      <alignment vertical="center"/>
    </xf>
    <xf numFmtId="0" fontId="19" fillId="7" borderId="0" xfId="0" applyFont="1" applyFill="1" applyAlignment="1">
      <alignment vertical="center" wrapText="1"/>
    </xf>
    <xf numFmtId="0" fontId="2" fillId="7" borderId="0" xfId="0" applyFont="1" applyFill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3" borderId="0" xfId="0" applyFill="1">
      <alignment vertical="center"/>
    </xf>
    <xf numFmtId="0" fontId="0" fillId="3" borderId="0" xfId="0" applyFill="1" applyAlignment="1">
      <alignment vertical="center" wrapText="1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2" fontId="2" fillId="5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1" fillId="5" borderId="23" xfId="0" applyFont="1" applyFill="1" applyBorder="1" applyAlignment="1">
      <alignment horizontal="center" vertical="center"/>
    </xf>
    <xf numFmtId="49" fontId="16" fillId="5" borderId="22" xfId="0" applyNumberFormat="1" applyFont="1" applyFill="1" applyBorder="1" applyAlignment="1">
      <alignment horizontal="center" vertical="center"/>
    </xf>
    <xf numFmtId="49" fontId="17" fillId="5" borderId="1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20" fillId="4" borderId="0" xfId="0" applyFont="1" applyFill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21" fillId="0" borderId="0" xfId="0" applyFont="1" applyFill="1" applyAlignment="1">
      <alignment vertical="center" wrapText="1"/>
    </xf>
    <xf numFmtId="0" fontId="20" fillId="4" borderId="0" xfId="0" applyFont="1" applyFill="1">
      <alignment vertical="center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18" xfId="49"/>
    <cellStyle name="常规 18 2" xfId="50"/>
    <cellStyle name="常规 2" xfId="51"/>
    <cellStyle name="Normal" xfId="52"/>
  </cellStyles>
  <tableStyles count="0" defaultTableStyle="TableStyleMedium2" defaultPivotStyle="PivotStyleLight16"/>
  <colors>
    <mruColors>
      <color rgb="0066FF99"/>
      <color rgb="00EBDF79"/>
      <color rgb="00B1CCE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448310</xdr:colOff>
      <xdr:row>6</xdr:row>
      <xdr:rowOff>83185</xdr:rowOff>
    </xdr:from>
    <xdr:to>
      <xdr:col>1</xdr:col>
      <xdr:colOff>6001385</xdr:colOff>
      <xdr:row>33</xdr:row>
      <xdr:rowOff>97790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48310" y="2143760"/>
          <a:ext cx="6230620" cy="69583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506095</xdr:colOff>
      <xdr:row>34</xdr:row>
      <xdr:rowOff>0</xdr:rowOff>
    </xdr:from>
    <xdr:to>
      <xdr:col>2</xdr:col>
      <xdr:colOff>142875</xdr:colOff>
      <xdr:row>38</xdr:row>
      <xdr:rowOff>47625</xdr:rowOff>
    </xdr:to>
    <xdr:pic>
      <xdr:nvPicPr>
        <xdr:cNvPr id="3" name="图片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506095" y="9261475"/>
          <a:ext cx="6515100" cy="10763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401320</xdr:colOff>
      <xdr:row>38</xdr:row>
      <xdr:rowOff>161925</xdr:rowOff>
    </xdr:from>
    <xdr:to>
      <xdr:col>1</xdr:col>
      <xdr:colOff>5972175</xdr:colOff>
      <xdr:row>65</xdr:row>
      <xdr:rowOff>56515</xdr:rowOff>
    </xdr:to>
    <xdr:pic>
      <xdr:nvPicPr>
        <xdr:cNvPr id="4" name="图片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01320" y="10452100"/>
          <a:ext cx="6248400" cy="6838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396240</xdr:colOff>
      <xdr:row>65</xdr:row>
      <xdr:rowOff>189865</xdr:rowOff>
    </xdr:from>
    <xdr:to>
      <xdr:col>1</xdr:col>
      <xdr:colOff>5852795</xdr:colOff>
      <xdr:row>84</xdr:row>
      <xdr:rowOff>104140</xdr:rowOff>
    </xdr:to>
    <xdr:pic>
      <xdr:nvPicPr>
        <xdr:cNvPr id="5" name="图片 4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396240" y="17423765"/>
          <a:ext cx="6134100" cy="48006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K173"/>
  <sheetViews>
    <sheetView tabSelected="1" workbookViewId="0">
      <pane ySplit="4" topLeftCell="A5" activePane="bottomLeft" state="frozenSplit"/>
      <selection/>
      <selection pane="bottomLeft" activeCell="B2" sqref="B2"/>
    </sheetView>
  </sheetViews>
  <sheetFormatPr defaultColWidth="8.89166666666667" defaultRowHeight="20.25"/>
  <cols>
    <col min="2" max="2" width="81.375" style="117" customWidth="1"/>
    <col min="3" max="8" width="3.25" customWidth="1"/>
    <col min="9" max="17" width="0.808333333333333" customWidth="1"/>
    <col min="18" max="18" width="5.625" style="118" customWidth="1"/>
    <col min="19" max="19" width="5.625" style="119" customWidth="1"/>
    <col min="20" max="20" width="25.625" style="120" customWidth="1"/>
    <col min="21" max="21" width="10.625" style="120" customWidth="1"/>
    <col min="22" max="22" width="8.625" style="121" customWidth="1"/>
    <col min="23" max="23" width="5.625" style="122" customWidth="1"/>
    <col min="24" max="24" width="9.625" style="123" hidden="1" customWidth="1"/>
    <col min="25" max="25" width="10.625" style="123" hidden="1" customWidth="1"/>
    <col min="26" max="26" width="5.625" style="122" customWidth="1"/>
    <col min="27" max="27" width="8.625" style="124" customWidth="1"/>
    <col min="28" max="28" width="8.625" style="125" customWidth="1"/>
    <col min="29" max="30" width="6.625" style="126" customWidth="1"/>
    <col min="31" max="31" width="10.625" style="119" customWidth="1"/>
    <col min="32" max="32" width="8.625" style="126" customWidth="1"/>
    <col min="33" max="33" width="8.625" style="127" customWidth="1"/>
    <col min="34" max="34" width="15.625" style="120" customWidth="1"/>
    <col min="35" max="35" width="1.625" style="121" customWidth="1"/>
    <col min="36" max="36" width="20.625" style="120" customWidth="1"/>
    <col min="37" max="37" width="6.625" style="121" customWidth="1"/>
  </cols>
  <sheetData>
    <row r="1" s="115" customFormat="1" ht="40" customHeight="1" spans="2:37">
      <c r="B1" s="128" t="s"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="116" customFormat="1" ht="30" customHeight="1" spans="2:37">
      <c r="B2" s="129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</row>
    <row r="3" s="115" customFormat="1" spans="2:37">
      <c r="B3" s="130"/>
      <c r="R3" s="137" t="s">
        <v>1</v>
      </c>
      <c r="S3" s="138"/>
      <c r="T3" s="138"/>
      <c r="U3" s="138"/>
      <c r="V3" s="138"/>
      <c r="W3" s="138"/>
      <c r="X3" s="138"/>
      <c r="Y3" s="138"/>
      <c r="Z3" s="147"/>
      <c r="AA3" s="137" t="s">
        <v>2</v>
      </c>
      <c r="AB3" s="148"/>
      <c r="AC3" s="138"/>
      <c r="AD3" s="138"/>
      <c r="AE3" s="138"/>
      <c r="AF3" s="138"/>
      <c r="AG3" s="138"/>
      <c r="AH3" s="147"/>
      <c r="AI3" s="137" t="s">
        <v>3</v>
      </c>
      <c r="AJ3" s="138"/>
      <c r="AK3" s="147"/>
    </row>
    <row r="4" s="116" customFormat="1" ht="31.5" spans="2:37">
      <c r="B4" s="131"/>
      <c r="R4" s="139" t="s">
        <v>4</v>
      </c>
      <c r="S4" s="140" t="s">
        <v>4</v>
      </c>
      <c r="T4" s="141" t="s">
        <v>5</v>
      </c>
      <c r="U4" s="141" t="s">
        <v>6</v>
      </c>
      <c r="V4" s="140" t="s">
        <v>7</v>
      </c>
      <c r="W4" s="140" t="s">
        <v>8</v>
      </c>
      <c r="X4" s="142" t="s">
        <v>9</v>
      </c>
      <c r="Y4" s="142" t="s">
        <v>10</v>
      </c>
      <c r="Z4" s="140" t="s">
        <v>11</v>
      </c>
      <c r="AA4" s="140" t="s">
        <v>12</v>
      </c>
      <c r="AB4" s="149" t="s">
        <v>13</v>
      </c>
      <c r="AC4" s="142" t="s">
        <v>14</v>
      </c>
      <c r="AD4" s="142" t="s">
        <v>15</v>
      </c>
      <c r="AE4" s="140" t="s">
        <v>11</v>
      </c>
      <c r="AF4" s="142" t="s">
        <v>16</v>
      </c>
      <c r="AG4" s="142" t="s">
        <v>17</v>
      </c>
      <c r="AH4" s="141" t="s">
        <v>18</v>
      </c>
      <c r="AI4" s="140"/>
      <c r="AJ4" s="141" t="s">
        <v>19</v>
      </c>
      <c r="AK4" s="140"/>
    </row>
    <row r="5" spans="1:19">
      <c r="A5" s="132"/>
      <c r="B5" s="133"/>
      <c r="C5" s="132"/>
      <c r="D5" s="132"/>
      <c r="E5" s="132"/>
      <c r="F5" s="132"/>
      <c r="G5" s="132"/>
      <c r="H5" s="132"/>
      <c r="I5" s="136"/>
      <c r="J5" s="136"/>
      <c r="K5" s="136"/>
      <c r="L5" s="136"/>
      <c r="M5" s="136"/>
      <c r="N5" s="136"/>
      <c r="O5" s="136"/>
      <c r="P5" s="136"/>
      <c r="Q5" s="136"/>
      <c r="R5" s="143"/>
      <c r="S5" s="144"/>
    </row>
    <row r="6" spans="1:19">
      <c r="A6" s="134">
        <v>1</v>
      </c>
      <c r="B6" s="135" t="s">
        <v>20</v>
      </c>
      <c r="C6" s="134"/>
      <c r="D6" s="134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45"/>
      <c r="S6" s="146"/>
    </row>
    <row r="7" spans="1:19">
      <c r="A7" s="132"/>
      <c r="B7" s="133"/>
      <c r="C7" s="132"/>
      <c r="D7" s="132"/>
      <c r="E7" s="132"/>
      <c r="F7" s="132"/>
      <c r="G7" s="132"/>
      <c r="H7" s="132"/>
      <c r="I7" s="136"/>
      <c r="J7" s="136"/>
      <c r="K7" s="136"/>
      <c r="L7" s="136"/>
      <c r="M7" s="136"/>
      <c r="N7" s="136"/>
      <c r="O7" s="136"/>
      <c r="P7" s="136"/>
      <c r="Q7" s="136"/>
      <c r="R7" s="143"/>
      <c r="S7" s="144"/>
    </row>
    <row r="8" spans="1:19">
      <c r="A8" s="132"/>
      <c r="B8" s="133"/>
      <c r="C8" s="132"/>
      <c r="D8" s="132"/>
      <c r="E8" s="132"/>
      <c r="F8" s="132"/>
      <c r="G8" s="132"/>
      <c r="H8" s="132"/>
      <c r="I8" s="136"/>
      <c r="J8" s="136"/>
      <c r="K8" s="136"/>
      <c r="L8" s="136"/>
      <c r="M8" s="136"/>
      <c r="N8" s="136"/>
      <c r="O8" s="136"/>
      <c r="P8" s="136"/>
      <c r="Q8" s="136"/>
      <c r="R8" s="143"/>
      <c r="S8" s="144"/>
    </row>
    <row r="9" spans="1:19">
      <c r="A9" s="132"/>
      <c r="B9" s="133"/>
      <c r="C9" s="132"/>
      <c r="D9" s="132"/>
      <c r="E9" s="132"/>
      <c r="F9" s="132"/>
      <c r="G9" s="132"/>
      <c r="H9" s="132"/>
      <c r="I9" s="136"/>
      <c r="J9" s="136"/>
      <c r="K9" s="136"/>
      <c r="L9" s="136"/>
      <c r="M9" s="136"/>
      <c r="N9" s="136"/>
      <c r="O9" s="136"/>
      <c r="P9" s="136"/>
      <c r="Q9" s="136"/>
      <c r="R9" s="143"/>
      <c r="S9" s="144"/>
    </row>
    <row r="10" spans="1:19">
      <c r="A10" s="132"/>
      <c r="B10" s="133"/>
      <c r="C10" s="132"/>
      <c r="D10" s="132"/>
      <c r="E10" s="132"/>
      <c r="F10" s="132"/>
      <c r="G10" s="132"/>
      <c r="H10" s="132"/>
      <c r="I10" s="136"/>
      <c r="J10" s="136"/>
      <c r="K10" s="136"/>
      <c r="L10" s="136"/>
      <c r="M10" s="136"/>
      <c r="N10" s="136"/>
      <c r="O10" s="136"/>
      <c r="P10" s="136"/>
      <c r="Q10" s="136"/>
      <c r="R10" s="143"/>
      <c r="S10" s="144"/>
    </row>
    <row r="11" spans="1:19">
      <c r="A11" s="132"/>
      <c r="B11" s="133"/>
      <c r="C11" s="132"/>
      <c r="D11" s="132"/>
      <c r="E11" s="132"/>
      <c r="F11" s="132"/>
      <c r="G11" s="132"/>
      <c r="H11" s="132"/>
      <c r="I11" s="136"/>
      <c r="J11" s="136"/>
      <c r="K11" s="136"/>
      <c r="L11" s="136"/>
      <c r="M11" s="136"/>
      <c r="N11" s="136"/>
      <c r="O11" s="136"/>
      <c r="P11" s="136"/>
      <c r="Q11" s="136"/>
      <c r="R11" s="143"/>
      <c r="S11" s="144"/>
    </row>
    <row r="12" spans="1:19">
      <c r="A12" s="132"/>
      <c r="B12" s="133"/>
      <c r="C12" s="132"/>
      <c r="D12" s="132"/>
      <c r="E12" s="132"/>
      <c r="F12" s="132"/>
      <c r="G12" s="132"/>
      <c r="H12" s="132"/>
      <c r="I12" s="136"/>
      <c r="J12" s="136"/>
      <c r="K12" s="136"/>
      <c r="L12" s="136"/>
      <c r="M12" s="136"/>
      <c r="N12" s="136"/>
      <c r="O12" s="136"/>
      <c r="P12" s="136"/>
      <c r="Q12" s="136"/>
      <c r="R12" s="143"/>
      <c r="S12" s="144"/>
    </row>
    <row r="13" spans="1:19">
      <c r="A13" s="132"/>
      <c r="B13" s="133"/>
      <c r="C13" s="132"/>
      <c r="D13" s="132"/>
      <c r="E13" s="132"/>
      <c r="F13" s="132"/>
      <c r="G13" s="132"/>
      <c r="H13" s="132"/>
      <c r="I13" s="136"/>
      <c r="J13" s="136"/>
      <c r="K13" s="136"/>
      <c r="L13" s="136"/>
      <c r="M13" s="136"/>
      <c r="N13" s="136"/>
      <c r="O13" s="136"/>
      <c r="P13" s="136"/>
      <c r="Q13" s="136"/>
      <c r="R13" s="143"/>
      <c r="S13" s="144"/>
    </row>
    <row r="14" spans="1:19">
      <c r="A14" s="132"/>
      <c r="B14" s="133"/>
      <c r="C14" s="132"/>
      <c r="D14" s="132"/>
      <c r="E14" s="132"/>
      <c r="F14" s="132"/>
      <c r="G14" s="132"/>
      <c r="H14" s="132"/>
      <c r="I14" s="136"/>
      <c r="J14" s="136"/>
      <c r="K14" s="136"/>
      <c r="L14" s="136"/>
      <c r="M14" s="136"/>
      <c r="N14" s="136"/>
      <c r="O14" s="136"/>
      <c r="P14" s="136"/>
      <c r="Q14" s="136"/>
      <c r="R14" s="143"/>
      <c r="S14" s="144"/>
    </row>
    <row r="15" spans="1:19">
      <c r="A15" s="132"/>
      <c r="B15" s="133"/>
      <c r="C15" s="132"/>
      <c r="D15" s="132"/>
      <c r="E15" s="132"/>
      <c r="F15" s="132"/>
      <c r="G15" s="132"/>
      <c r="H15" s="132"/>
      <c r="I15" s="136"/>
      <c r="J15" s="136"/>
      <c r="K15" s="136"/>
      <c r="L15" s="136"/>
      <c r="M15" s="136"/>
      <c r="N15" s="136"/>
      <c r="O15" s="136"/>
      <c r="P15" s="136"/>
      <c r="Q15" s="136"/>
      <c r="R15" s="143"/>
      <c r="S15" s="144"/>
    </row>
    <row r="16" spans="1:19">
      <c r="A16" s="132"/>
      <c r="B16" s="133"/>
      <c r="C16" s="132"/>
      <c r="D16" s="132"/>
      <c r="E16" s="132"/>
      <c r="F16" s="132"/>
      <c r="G16" s="132"/>
      <c r="H16" s="132"/>
      <c r="I16" s="136"/>
      <c r="J16" s="136"/>
      <c r="K16" s="136"/>
      <c r="L16" s="136"/>
      <c r="M16" s="136"/>
      <c r="N16" s="136"/>
      <c r="O16" s="136"/>
      <c r="P16" s="136"/>
      <c r="Q16" s="136"/>
      <c r="R16" s="143"/>
      <c r="S16" s="144"/>
    </row>
    <row r="17" spans="1:19">
      <c r="A17" s="132"/>
      <c r="B17" s="133"/>
      <c r="C17" s="132"/>
      <c r="D17" s="132"/>
      <c r="E17" s="132"/>
      <c r="F17" s="132"/>
      <c r="G17" s="132"/>
      <c r="H17" s="132"/>
      <c r="I17" s="136"/>
      <c r="J17" s="136"/>
      <c r="K17" s="136"/>
      <c r="L17" s="136"/>
      <c r="M17" s="136"/>
      <c r="N17" s="136"/>
      <c r="O17" s="136"/>
      <c r="P17" s="136"/>
      <c r="Q17" s="136"/>
      <c r="R17" s="143"/>
      <c r="S17" s="144"/>
    </row>
    <row r="18" spans="1:19">
      <c r="A18" s="132"/>
      <c r="B18" s="133"/>
      <c r="C18" s="132"/>
      <c r="D18" s="132"/>
      <c r="E18" s="132"/>
      <c r="F18" s="132"/>
      <c r="G18" s="132"/>
      <c r="H18" s="132"/>
      <c r="I18" s="136"/>
      <c r="J18" s="136"/>
      <c r="K18" s="136"/>
      <c r="L18" s="136"/>
      <c r="M18" s="136"/>
      <c r="N18" s="136"/>
      <c r="O18" s="136"/>
      <c r="P18" s="136"/>
      <c r="Q18" s="136"/>
      <c r="R18" s="143"/>
      <c r="S18" s="144"/>
    </row>
    <row r="19" spans="1:19">
      <c r="A19" s="132"/>
      <c r="B19" s="133"/>
      <c r="C19" s="132"/>
      <c r="D19" s="132"/>
      <c r="E19" s="132"/>
      <c r="F19" s="132"/>
      <c r="G19" s="132"/>
      <c r="H19" s="132"/>
      <c r="I19" s="136"/>
      <c r="J19" s="136"/>
      <c r="K19" s="136"/>
      <c r="L19" s="136"/>
      <c r="M19" s="136"/>
      <c r="N19" s="136"/>
      <c r="O19" s="136"/>
      <c r="P19" s="136"/>
      <c r="Q19" s="136"/>
      <c r="R19" s="143"/>
      <c r="S19" s="144"/>
    </row>
    <row r="20" spans="1:19">
      <c r="A20" s="132"/>
      <c r="B20" s="133"/>
      <c r="C20" s="132"/>
      <c r="D20" s="132"/>
      <c r="E20" s="132"/>
      <c r="F20" s="132"/>
      <c r="G20" s="132"/>
      <c r="H20" s="132"/>
      <c r="I20" s="136"/>
      <c r="J20" s="136"/>
      <c r="K20" s="136"/>
      <c r="L20" s="136"/>
      <c r="M20" s="136"/>
      <c r="N20" s="136"/>
      <c r="O20" s="136"/>
      <c r="P20" s="136"/>
      <c r="Q20" s="136"/>
      <c r="R20" s="143"/>
      <c r="S20" s="144"/>
    </row>
    <row r="21" spans="1:19">
      <c r="A21" s="132"/>
      <c r="B21" s="133"/>
      <c r="C21" s="132"/>
      <c r="D21" s="132"/>
      <c r="E21" s="132"/>
      <c r="F21" s="132"/>
      <c r="G21" s="132"/>
      <c r="H21" s="132"/>
      <c r="I21" s="136"/>
      <c r="J21" s="136"/>
      <c r="K21" s="136"/>
      <c r="L21" s="136"/>
      <c r="M21" s="136"/>
      <c r="N21" s="136"/>
      <c r="O21" s="136"/>
      <c r="P21" s="136"/>
      <c r="Q21" s="136"/>
      <c r="R21" s="143"/>
      <c r="S21" s="144"/>
    </row>
    <row r="22" spans="1:19">
      <c r="A22" s="132"/>
      <c r="B22" s="133"/>
      <c r="C22" s="132"/>
      <c r="D22" s="132"/>
      <c r="E22" s="132"/>
      <c r="F22" s="132"/>
      <c r="G22" s="132"/>
      <c r="H22" s="132"/>
      <c r="I22" s="136"/>
      <c r="J22" s="136"/>
      <c r="K22" s="136"/>
      <c r="L22" s="136"/>
      <c r="M22" s="136"/>
      <c r="N22" s="136"/>
      <c r="O22" s="136"/>
      <c r="P22" s="136"/>
      <c r="Q22" s="136"/>
      <c r="R22" s="143"/>
      <c r="S22" s="144"/>
    </row>
    <row r="23" spans="1:19">
      <c r="A23" s="132"/>
      <c r="B23" s="133"/>
      <c r="C23" s="132"/>
      <c r="D23" s="132"/>
      <c r="E23" s="132"/>
      <c r="F23" s="132"/>
      <c r="G23" s="132"/>
      <c r="H23" s="132"/>
      <c r="I23" s="136"/>
      <c r="J23" s="136"/>
      <c r="K23" s="136"/>
      <c r="L23" s="136"/>
      <c r="M23" s="136"/>
      <c r="N23" s="136"/>
      <c r="O23" s="136"/>
      <c r="P23" s="136"/>
      <c r="Q23" s="136"/>
      <c r="R23" s="143"/>
      <c r="S23" s="144"/>
    </row>
    <row r="24" spans="1:19">
      <c r="A24" s="132"/>
      <c r="B24" s="133"/>
      <c r="C24" s="132"/>
      <c r="D24" s="132"/>
      <c r="E24" s="132"/>
      <c r="F24" s="132"/>
      <c r="G24" s="132"/>
      <c r="H24" s="132"/>
      <c r="I24" s="136"/>
      <c r="J24" s="136"/>
      <c r="K24" s="136"/>
      <c r="L24" s="136"/>
      <c r="M24" s="136"/>
      <c r="N24" s="136"/>
      <c r="O24" s="136"/>
      <c r="P24" s="136"/>
      <c r="Q24" s="136"/>
      <c r="R24" s="143"/>
      <c r="S24" s="144"/>
    </row>
    <row r="25" spans="1:19">
      <c r="A25" s="132"/>
      <c r="B25" s="133"/>
      <c r="C25" s="132"/>
      <c r="D25" s="132"/>
      <c r="E25" s="132"/>
      <c r="F25" s="132"/>
      <c r="G25" s="132"/>
      <c r="H25" s="132"/>
      <c r="I25" s="136"/>
      <c r="J25" s="136"/>
      <c r="K25" s="136"/>
      <c r="L25" s="136"/>
      <c r="M25" s="136"/>
      <c r="N25" s="136"/>
      <c r="O25" s="136"/>
      <c r="P25" s="136"/>
      <c r="Q25" s="136"/>
      <c r="R25" s="143"/>
      <c r="S25" s="144"/>
    </row>
    <row r="26" spans="1:19">
      <c r="A26" s="132"/>
      <c r="B26" s="133"/>
      <c r="C26" s="132"/>
      <c r="D26" s="132"/>
      <c r="E26" s="132"/>
      <c r="F26" s="132"/>
      <c r="G26" s="132"/>
      <c r="H26" s="132"/>
      <c r="I26" s="136"/>
      <c r="J26" s="136"/>
      <c r="K26" s="136"/>
      <c r="L26" s="136"/>
      <c r="M26" s="136"/>
      <c r="N26" s="136"/>
      <c r="O26" s="136"/>
      <c r="P26" s="136"/>
      <c r="Q26" s="136"/>
      <c r="R26" s="143"/>
      <c r="S26" s="144"/>
    </row>
    <row r="27" spans="1:19">
      <c r="A27" s="132"/>
      <c r="B27" s="133"/>
      <c r="C27" s="132"/>
      <c r="D27" s="132"/>
      <c r="E27" s="132"/>
      <c r="F27" s="132"/>
      <c r="G27" s="132"/>
      <c r="H27" s="132"/>
      <c r="I27" s="136"/>
      <c r="J27" s="136"/>
      <c r="K27" s="136"/>
      <c r="L27" s="136"/>
      <c r="M27" s="136"/>
      <c r="N27" s="136"/>
      <c r="O27" s="136"/>
      <c r="P27" s="136"/>
      <c r="Q27" s="136"/>
      <c r="R27" s="143"/>
      <c r="S27" s="144"/>
    </row>
    <row r="28" spans="1:19">
      <c r="A28" s="132"/>
      <c r="B28" s="133"/>
      <c r="C28" s="132"/>
      <c r="D28" s="132"/>
      <c r="E28" s="132"/>
      <c r="F28" s="132"/>
      <c r="G28" s="132"/>
      <c r="H28" s="132"/>
      <c r="I28" s="136"/>
      <c r="J28" s="136"/>
      <c r="K28" s="136"/>
      <c r="L28" s="136"/>
      <c r="M28" s="136"/>
      <c r="N28" s="136"/>
      <c r="O28" s="136"/>
      <c r="P28" s="136"/>
      <c r="Q28" s="136"/>
      <c r="R28" s="143"/>
      <c r="S28" s="144"/>
    </row>
    <row r="29" spans="1:19">
      <c r="A29" s="132"/>
      <c r="B29" s="133"/>
      <c r="C29" s="132"/>
      <c r="D29" s="132"/>
      <c r="E29" s="132"/>
      <c r="F29" s="132"/>
      <c r="G29" s="132"/>
      <c r="H29" s="132"/>
      <c r="I29" s="136"/>
      <c r="J29" s="136"/>
      <c r="K29" s="136"/>
      <c r="L29" s="136"/>
      <c r="M29" s="136"/>
      <c r="N29" s="136"/>
      <c r="O29" s="136"/>
      <c r="P29" s="136"/>
      <c r="Q29" s="136"/>
      <c r="R29" s="143"/>
      <c r="S29" s="144"/>
    </row>
    <row r="30" spans="1:19">
      <c r="A30" s="132"/>
      <c r="B30" s="133"/>
      <c r="C30" s="132"/>
      <c r="D30" s="132"/>
      <c r="E30" s="132"/>
      <c r="F30" s="132"/>
      <c r="G30" s="132"/>
      <c r="H30" s="132"/>
      <c r="I30" s="136"/>
      <c r="J30" s="136"/>
      <c r="K30" s="136"/>
      <c r="L30" s="136"/>
      <c r="M30" s="136"/>
      <c r="N30" s="136"/>
      <c r="O30" s="136"/>
      <c r="P30" s="136"/>
      <c r="Q30" s="136"/>
      <c r="R30" s="143"/>
      <c r="S30" s="144"/>
    </row>
    <row r="31" spans="1:19">
      <c r="A31" s="132"/>
      <c r="B31" s="133"/>
      <c r="C31" s="132"/>
      <c r="D31" s="132"/>
      <c r="E31" s="132"/>
      <c r="F31" s="132"/>
      <c r="G31" s="132"/>
      <c r="H31" s="132"/>
      <c r="I31" s="136"/>
      <c r="J31" s="136"/>
      <c r="K31" s="136"/>
      <c r="L31" s="136"/>
      <c r="M31" s="136"/>
      <c r="N31" s="136"/>
      <c r="O31" s="136"/>
      <c r="P31" s="136"/>
      <c r="Q31" s="136"/>
      <c r="R31" s="143"/>
      <c r="S31" s="144"/>
    </row>
    <row r="32" spans="1:19">
      <c r="A32" s="132"/>
      <c r="B32" s="133"/>
      <c r="C32" s="132"/>
      <c r="D32" s="132"/>
      <c r="E32" s="132"/>
      <c r="F32" s="132"/>
      <c r="G32" s="132"/>
      <c r="H32" s="132"/>
      <c r="I32" s="136"/>
      <c r="J32" s="136"/>
      <c r="K32" s="136"/>
      <c r="L32" s="136"/>
      <c r="M32" s="136"/>
      <c r="N32" s="136"/>
      <c r="O32" s="136"/>
      <c r="P32" s="136"/>
      <c r="Q32" s="136"/>
      <c r="R32" s="143"/>
      <c r="S32" s="144"/>
    </row>
    <row r="33" spans="1:19">
      <c r="A33" s="132"/>
      <c r="B33" s="133"/>
      <c r="C33" s="132"/>
      <c r="D33" s="132"/>
      <c r="E33" s="132"/>
      <c r="F33" s="132"/>
      <c r="G33" s="132"/>
      <c r="H33" s="132"/>
      <c r="I33" s="136"/>
      <c r="J33" s="136"/>
      <c r="K33" s="136"/>
      <c r="L33" s="136"/>
      <c r="M33" s="136"/>
      <c r="N33" s="136"/>
      <c r="O33" s="136"/>
      <c r="P33" s="136"/>
      <c r="Q33" s="136"/>
      <c r="R33" s="143"/>
      <c r="S33" s="144"/>
    </row>
    <row r="34" spans="1:19">
      <c r="A34" s="132"/>
      <c r="B34" s="133"/>
      <c r="C34" s="132"/>
      <c r="D34" s="132"/>
      <c r="E34" s="132"/>
      <c r="F34" s="132"/>
      <c r="G34" s="132"/>
      <c r="H34" s="132"/>
      <c r="I34" s="136"/>
      <c r="J34" s="136"/>
      <c r="K34" s="136"/>
      <c r="L34" s="136"/>
      <c r="M34" s="136"/>
      <c r="N34" s="136"/>
      <c r="O34" s="136"/>
      <c r="P34" s="136"/>
      <c r="Q34" s="136"/>
      <c r="R34" s="143"/>
      <c r="S34" s="144"/>
    </row>
    <row r="35" spans="1:19">
      <c r="A35" s="132"/>
      <c r="B35" s="133"/>
      <c r="C35" s="132"/>
      <c r="D35" s="132"/>
      <c r="E35" s="132"/>
      <c r="F35" s="132"/>
      <c r="G35" s="132"/>
      <c r="H35" s="132"/>
      <c r="I35" s="136"/>
      <c r="J35" s="136"/>
      <c r="K35" s="136"/>
      <c r="L35" s="136"/>
      <c r="M35" s="136"/>
      <c r="N35" s="136"/>
      <c r="O35" s="136"/>
      <c r="P35" s="136"/>
      <c r="Q35" s="136"/>
      <c r="R35" s="143"/>
      <c r="S35" s="144"/>
    </row>
    <row r="36" spans="1:19">
      <c r="A36" s="132"/>
      <c r="B36" s="133"/>
      <c r="C36" s="132"/>
      <c r="D36" s="132"/>
      <c r="E36" s="132"/>
      <c r="F36" s="132"/>
      <c r="G36" s="132"/>
      <c r="H36" s="132"/>
      <c r="I36" s="136"/>
      <c r="J36" s="136"/>
      <c r="K36" s="136"/>
      <c r="L36" s="136"/>
      <c r="M36" s="136"/>
      <c r="N36" s="136"/>
      <c r="O36" s="136"/>
      <c r="P36" s="136"/>
      <c r="Q36" s="136"/>
      <c r="R36" s="143"/>
      <c r="S36" s="144"/>
    </row>
    <row r="37" spans="1:19">
      <c r="A37" s="132"/>
      <c r="B37" s="133"/>
      <c r="C37" s="132"/>
      <c r="D37" s="132"/>
      <c r="E37" s="132"/>
      <c r="F37" s="132"/>
      <c r="G37" s="132"/>
      <c r="H37" s="132"/>
      <c r="I37" s="136"/>
      <c r="J37" s="136"/>
      <c r="K37" s="136"/>
      <c r="L37" s="136"/>
      <c r="M37" s="136"/>
      <c r="N37" s="136"/>
      <c r="O37" s="136"/>
      <c r="P37" s="136"/>
      <c r="Q37" s="136"/>
      <c r="R37" s="143"/>
      <c r="S37" s="144"/>
    </row>
    <row r="38" spans="1:19">
      <c r="A38" s="132"/>
      <c r="B38" s="133"/>
      <c r="C38" s="132"/>
      <c r="D38" s="132"/>
      <c r="E38" s="132"/>
      <c r="F38" s="132"/>
      <c r="G38" s="132"/>
      <c r="H38" s="132"/>
      <c r="I38" s="136"/>
      <c r="J38" s="136"/>
      <c r="K38" s="136"/>
      <c r="L38" s="136"/>
      <c r="M38" s="136"/>
      <c r="N38" s="136"/>
      <c r="O38" s="136"/>
      <c r="P38" s="136"/>
      <c r="Q38" s="136"/>
      <c r="R38" s="143"/>
      <c r="S38" s="144"/>
    </row>
    <row r="39" spans="1:19">
      <c r="A39" s="132"/>
      <c r="B39" s="133"/>
      <c r="C39" s="132"/>
      <c r="D39" s="132"/>
      <c r="E39" s="132"/>
      <c r="F39" s="132"/>
      <c r="G39" s="132"/>
      <c r="H39" s="132"/>
      <c r="I39" s="136"/>
      <c r="J39" s="136"/>
      <c r="K39" s="136"/>
      <c r="L39" s="136"/>
      <c r="M39" s="136"/>
      <c r="N39" s="136"/>
      <c r="O39" s="136"/>
      <c r="P39" s="136"/>
      <c r="Q39" s="136"/>
      <c r="R39" s="143"/>
      <c r="S39" s="144"/>
    </row>
    <row r="40" spans="1:19">
      <c r="A40" s="132"/>
      <c r="B40" s="133"/>
      <c r="C40" s="132"/>
      <c r="D40" s="132"/>
      <c r="E40" s="132"/>
      <c r="F40" s="132"/>
      <c r="G40" s="132"/>
      <c r="H40" s="132"/>
      <c r="I40" s="136"/>
      <c r="J40" s="136"/>
      <c r="K40" s="136"/>
      <c r="L40" s="136"/>
      <c r="M40" s="136"/>
      <c r="N40" s="136"/>
      <c r="O40" s="136"/>
      <c r="P40" s="136"/>
      <c r="Q40" s="136"/>
      <c r="R40" s="143"/>
      <c r="S40" s="144"/>
    </row>
    <row r="41" spans="1:19">
      <c r="A41" s="132"/>
      <c r="B41" s="133"/>
      <c r="C41" s="132"/>
      <c r="D41" s="132"/>
      <c r="E41" s="132"/>
      <c r="F41" s="132"/>
      <c r="G41" s="132"/>
      <c r="H41" s="132"/>
      <c r="I41" s="136"/>
      <c r="J41" s="136"/>
      <c r="K41" s="136"/>
      <c r="L41" s="136"/>
      <c r="M41" s="136"/>
      <c r="N41" s="136"/>
      <c r="O41" s="136"/>
      <c r="P41" s="136"/>
      <c r="Q41" s="136"/>
      <c r="R41" s="143"/>
      <c r="S41" s="144"/>
    </row>
    <row r="42" spans="1:19">
      <c r="A42" s="132"/>
      <c r="B42" s="133"/>
      <c r="C42" s="132"/>
      <c r="D42" s="132"/>
      <c r="E42" s="132"/>
      <c r="F42" s="132"/>
      <c r="G42" s="132"/>
      <c r="H42" s="132"/>
      <c r="I42" s="136"/>
      <c r="J42" s="136"/>
      <c r="K42" s="136"/>
      <c r="L42" s="136"/>
      <c r="M42" s="136"/>
      <c r="N42" s="136"/>
      <c r="O42" s="136"/>
      <c r="P42" s="136"/>
      <c r="Q42" s="136"/>
      <c r="R42" s="143"/>
      <c r="S42" s="144"/>
    </row>
    <row r="43" spans="1:19">
      <c r="A43" s="132"/>
      <c r="B43" s="133"/>
      <c r="C43" s="132"/>
      <c r="D43" s="132"/>
      <c r="E43" s="132"/>
      <c r="F43" s="132"/>
      <c r="G43" s="132"/>
      <c r="H43" s="132"/>
      <c r="I43" s="136"/>
      <c r="J43" s="136"/>
      <c r="K43" s="136"/>
      <c r="L43" s="136"/>
      <c r="M43" s="136"/>
      <c r="N43" s="136"/>
      <c r="O43" s="136"/>
      <c r="P43" s="136"/>
      <c r="Q43" s="136"/>
      <c r="R43" s="143"/>
      <c r="S43" s="144"/>
    </row>
    <row r="44" spans="1:19">
      <c r="A44" s="132"/>
      <c r="B44" s="133"/>
      <c r="C44" s="132"/>
      <c r="D44" s="132"/>
      <c r="E44" s="132"/>
      <c r="F44" s="132"/>
      <c r="G44" s="132"/>
      <c r="H44" s="132"/>
      <c r="I44" s="136"/>
      <c r="J44" s="136"/>
      <c r="K44" s="136"/>
      <c r="L44" s="136"/>
      <c r="M44" s="136"/>
      <c r="N44" s="136"/>
      <c r="O44" s="136"/>
      <c r="P44" s="136"/>
      <c r="Q44" s="136"/>
      <c r="R44" s="143"/>
      <c r="S44" s="144"/>
    </row>
    <row r="45" spans="1:19">
      <c r="A45" s="132"/>
      <c r="B45" s="133"/>
      <c r="C45" s="132"/>
      <c r="D45" s="132"/>
      <c r="E45" s="132"/>
      <c r="F45" s="132"/>
      <c r="G45" s="132"/>
      <c r="H45" s="132"/>
      <c r="I45" s="136"/>
      <c r="J45" s="136"/>
      <c r="K45" s="136"/>
      <c r="L45" s="136"/>
      <c r="M45" s="136"/>
      <c r="N45" s="136"/>
      <c r="O45" s="136"/>
      <c r="P45" s="136"/>
      <c r="Q45" s="136"/>
      <c r="R45" s="143"/>
      <c r="S45" s="144"/>
    </row>
    <row r="46" spans="1:19">
      <c r="A46" s="132"/>
      <c r="B46" s="133"/>
      <c r="C46" s="132"/>
      <c r="D46" s="132"/>
      <c r="E46" s="132"/>
      <c r="F46" s="132"/>
      <c r="G46" s="132"/>
      <c r="H46" s="132"/>
      <c r="I46" s="136"/>
      <c r="J46" s="136"/>
      <c r="K46" s="136"/>
      <c r="L46" s="136"/>
      <c r="M46" s="136"/>
      <c r="N46" s="136"/>
      <c r="O46" s="136"/>
      <c r="P46" s="136"/>
      <c r="Q46" s="136"/>
      <c r="R46" s="143"/>
      <c r="S46" s="144"/>
    </row>
    <row r="47" spans="1:19">
      <c r="A47" s="132"/>
      <c r="B47" s="133"/>
      <c r="C47" s="132"/>
      <c r="D47" s="132"/>
      <c r="E47" s="132"/>
      <c r="F47" s="132"/>
      <c r="G47" s="132"/>
      <c r="H47" s="132"/>
      <c r="I47" s="136"/>
      <c r="J47" s="136"/>
      <c r="K47" s="136"/>
      <c r="L47" s="136"/>
      <c r="M47" s="136"/>
      <c r="N47" s="136"/>
      <c r="O47" s="136"/>
      <c r="P47" s="136"/>
      <c r="Q47" s="136"/>
      <c r="R47" s="143"/>
      <c r="S47" s="144"/>
    </row>
    <row r="48" spans="1:19">
      <c r="A48" s="132"/>
      <c r="B48" s="133"/>
      <c r="C48" s="132"/>
      <c r="D48" s="132"/>
      <c r="E48" s="132"/>
      <c r="F48" s="132"/>
      <c r="G48" s="132"/>
      <c r="H48" s="132"/>
      <c r="I48" s="136"/>
      <c r="J48" s="136"/>
      <c r="K48" s="136"/>
      <c r="L48" s="136"/>
      <c r="M48" s="136"/>
      <c r="N48" s="136"/>
      <c r="O48" s="136"/>
      <c r="P48" s="136"/>
      <c r="Q48" s="136"/>
      <c r="R48" s="143"/>
      <c r="S48" s="144"/>
    </row>
    <row r="49" spans="1:19">
      <c r="A49" s="132"/>
      <c r="B49" s="133"/>
      <c r="C49" s="132"/>
      <c r="D49" s="132"/>
      <c r="E49" s="132"/>
      <c r="F49" s="132"/>
      <c r="G49" s="132"/>
      <c r="H49" s="132"/>
      <c r="I49" s="136"/>
      <c r="J49" s="136"/>
      <c r="K49" s="136"/>
      <c r="L49" s="136"/>
      <c r="M49" s="136"/>
      <c r="N49" s="136"/>
      <c r="O49" s="136"/>
      <c r="P49" s="136"/>
      <c r="Q49" s="136"/>
      <c r="R49" s="143"/>
      <c r="S49" s="144"/>
    </row>
    <row r="50" spans="1:19">
      <c r="A50" s="132"/>
      <c r="B50" s="133"/>
      <c r="C50" s="132"/>
      <c r="D50" s="132"/>
      <c r="E50" s="132"/>
      <c r="F50" s="132"/>
      <c r="G50" s="132"/>
      <c r="H50" s="132"/>
      <c r="I50" s="136"/>
      <c r="J50" s="136"/>
      <c r="K50" s="136"/>
      <c r="L50" s="136"/>
      <c r="M50" s="136"/>
      <c r="N50" s="136"/>
      <c r="O50" s="136"/>
      <c r="P50" s="136"/>
      <c r="Q50" s="136"/>
      <c r="R50" s="143"/>
      <c r="S50" s="144"/>
    </row>
    <row r="51" spans="1:19">
      <c r="A51" s="132"/>
      <c r="B51" s="133"/>
      <c r="C51" s="132"/>
      <c r="D51" s="132"/>
      <c r="E51" s="132"/>
      <c r="F51" s="132"/>
      <c r="G51" s="132"/>
      <c r="H51" s="132"/>
      <c r="I51" s="136"/>
      <c r="J51" s="136"/>
      <c r="K51" s="136"/>
      <c r="L51" s="136"/>
      <c r="M51" s="136"/>
      <c r="N51" s="136"/>
      <c r="O51" s="136"/>
      <c r="P51" s="136"/>
      <c r="Q51" s="136"/>
      <c r="R51" s="143"/>
      <c r="S51" s="144"/>
    </row>
    <row r="52" spans="1:19">
      <c r="A52" s="132"/>
      <c r="B52" s="133"/>
      <c r="C52" s="132"/>
      <c r="D52" s="132"/>
      <c r="E52" s="132"/>
      <c r="F52" s="132"/>
      <c r="G52" s="132"/>
      <c r="H52" s="132"/>
      <c r="I52" s="136"/>
      <c r="J52" s="136"/>
      <c r="K52" s="136"/>
      <c r="L52" s="136"/>
      <c r="M52" s="136"/>
      <c r="N52" s="136"/>
      <c r="O52" s="136"/>
      <c r="P52" s="136"/>
      <c r="Q52" s="136"/>
      <c r="R52" s="143"/>
      <c r="S52" s="144"/>
    </row>
    <row r="53" spans="1:19">
      <c r="A53" s="132"/>
      <c r="B53" s="133"/>
      <c r="C53" s="132"/>
      <c r="D53" s="132"/>
      <c r="E53" s="132"/>
      <c r="F53" s="132"/>
      <c r="G53" s="132"/>
      <c r="H53" s="132"/>
      <c r="I53" s="136"/>
      <c r="J53" s="136"/>
      <c r="K53" s="136"/>
      <c r="L53" s="136"/>
      <c r="M53" s="136"/>
      <c r="N53" s="136"/>
      <c r="O53" s="136"/>
      <c r="P53" s="136"/>
      <c r="Q53" s="136"/>
      <c r="R53" s="143"/>
      <c r="S53" s="144"/>
    </row>
    <row r="54" spans="1:19">
      <c r="A54" s="132"/>
      <c r="B54" s="133"/>
      <c r="C54" s="132"/>
      <c r="D54" s="132"/>
      <c r="E54" s="132"/>
      <c r="F54" s="132"/>
      <c r="G54" s="132"/>
      <c r="H54" s="132"/>
      <c r="I54" s="136"/>
      <c r="J54" s="136"/>
      <c r="K54" s="136"/>
      <c r="L54" s="136"/>
      <c r="M54" s="136"/>
      <c r="N54" s="136"/>
      <c r="O54" s="136"/>
      <c r="P54" s="136"/>
      <c r="Q54" s="136"/>
      <c r="R54" s="143"/>
      <c r="S54" s="144"/>
    </row>
    <row r="55" spans="1:19">
      <c r="A55" s="132"/>
      <c r="B55" s="133"/>
      <c r="C55" s="132"/>
      <c r="D55" s="132"/>
      <c r="E55" s="132"/>
      <c r="F55" s="132"/>
      <c r="G55" s="132"/>
      <c r="H55" s="132"/>
      <c r="I55" s="136"/>
      <c r="J55" s="136"/>
      <c r="K55" s="136"/>
      <c r="L55" s="136"/>
      <c r="M55" s="136"/>
      <c r="N55" s="136"/>
      <c r="O55" s="136"/>
      <c r="P55" s="136"/>
      <c r="Q55" s="136"/>
      <c r="R55" s="143"/>
      <c r="S55" s="144"/>
    </row>
    <row r="56" spans="1:19">
      <c r="A56" s="132"/>
      <c r="B56" s="133"/>
      <c r="C56" s="132"/>
      <c r="D56" s="132"/>
      <c r="E56" s="132"/>
      <c r="F56" s="132"/>
      <c r="G56" s="132"/>
      <c r="H56" s="132"/>
      <c r="I56" s="136"/>
      <c r="J56" s="136"/>
      <c r="K56" s="136"/>
      <c r="L56" s="136"/>
      <c r="M56" s="136"/>
      <c r="N56" s="136"/>
      <c r="O56" s="136"/>
      <c r="P56" s="136"/>
      <c r="Q56" s="136"/>
      <c r="R56" s="143"/>
      <c r="S56" s="144"/>
    </row>
    <row r="57" spans="1:19">
      <c r="A57" s="132"/>
      <c r="B57" s="133"/>
      <c r="C57" s="132"/>
      <c r="D57" s="132"/>
      <c r="E57" s="132"/>
      <c r="F57" s="132"/>
      <c r="G57" s="132"/>
      <c r="H57" s="132"/>
      <c r="I57" s="136"/>
      <c r="J57" s="136"/>
      <c r="K57" s="136"/>
      <c r="L57" s="136"/>
      <c r="M57" s="136"/>
      <c r="N57" s="136"/>
      <c r="O57" s="136"/>
      <c r="P57" s="136"/>
      <c r="Q57" s="136"/>
      <c r="R57" s="143"/>
      <c r="S57" s="144"/>
    </row>
    <row r="58" spans="1:19">
      <c r="A58" s="132"/>
      <c r="B58" s="133"/>
      <c r="C58" s="132"/>
      <c r="D58" s="132"/>
      <c r="E58" s="132"/>
      <c r="F58" s="132"/>
      <c r="G58" s="132"/>
      <c r="H58" s="132"/>
      <c r="I58" s="136"/>
      <c r="J58" s="136"/>
      <c r="K58" s="136"/>
      <c r="L58" s="136"/>
      <c r="M58" s="136"/>
      <c r="N58" s="136"/>
      <c r="O58" s="136"/>
      <c r="P58" s="136"/>
      <c r="Q58" s="136"/>
      <c r="R58" s="143"/>
      <c r="S58" s="144"/>
    </row>
    <row r="59" spans="1:19">
      <c r="A59" s="132"/>
      <c r="B59" s="133"/>
      <c r="C59" s="132"/>
      <c r="D59" s="132"/>
      <c r="E59" s="132"/>
      <c r="F59" s="132"/>
      <c r="G59" s="132"/>
      <c r="H59" s="132"/>
      <c r="I59" s="136"/>
      <c r="J59" s="136"/>
      <c r="K59" s="136"/>
      <c r="L59" s="136"/>
      <c r="M59" s="136"/>
      <c r="N59" s="136"/>
      <c r="O59" s="136"/>
      <c r="P59" s="136"/>
      <c r="Q59" s="136"/>
      <c r="R59" s="143"/>
      <c r="S59" s="144"/>
    </row>
    <row r="60" spans="1:19">
      <c r="A60" s="132"/>
      <c r="B60" s="133"/>
      <c r="C60" s="132"/>
      <c r="D60" s="132"/>
      <c r="E60" s="132"/>
      <c r="F60" s="132"/>
      <c r="G60" s="132"/>
      <c r="H60" s="132"/>
      <c r="I60" s="136"/>
      <c r="J60" s="136"/>
      <c r="K60" s="136"/>
      <c r="L60" s="136"/>
      <c r="M60" s="136"/>
      <c r="N60" s="136"/>
      <c r="O60" s="136"/>
      <c r="P60" s="136"/>
      <c r="Q60" s="136"/>
      <c r="R60" s="143"/>
      <c r="S60" s="144"/>
    </row>
    <row r="61" spans="1:19">
      <c r="A61" s="132"/>
      <c r="B61" s="133"/>
      <c r="C61" s="132"/>
      <c r="D61" s="132"/>
      <c r="E61" s="132"/>
      <c r="F61" s="132"/>
      <c r="G61" s="132"/>
      <c r="H61" s="132"/>
      <c r="I61" s="136"/>
      <c r="J61" s="136"/>
      <c r="K61" s="136"/>
      <c r="L61" s="136"/>
      <c r="M61" s="136"/>
      <c r="N61" s="136"/>
      <c r="O61" s="136"/>
      <c r="P61" s="136"/>
      <c r="Q61" s="136"/>
      <c r="R61" s="143"/>
      <c r="S61" s="144"/>
    </row>
    <row r="62" spans="1:19">
      <c r="A62" s="132"/>
      <c r="B62" s="133"/>
      <c r="C62" s="132"/>
      <c r="D62" s="132"/>
      <c r="E62" s="132"/>
      <c r="F62" s="132"/>
      <c r="G62" s="132"/>
      <c r="H62" s="132"/>
      <c r="I62" s="136"/>
      <c r="J62" s="136"/>
      <c r="K62" s="136"/>
      <c r="L62" s="136"/>
      <c r="M62" s="136"/>
      <c r="N62" s="136"/>
      <c r="O62" s="136"/>
      <c r="P62" s="136"/>
      <c r="Q62" s="136"/>
      <c r="R62" s="143"/>
      <c r="S62" s="144"/>
    </row>
    <row r="63" spans="1:19">
      <c r="A63" s="132"/>
      <c r="B63" s="133"/>
      <c r="C63" s="132"/>
      <c r="D63" s="132"/>
      <c r="E63" s="132"/>
      <c r="F63" s="132"/>
      <c r="G63" s="132"/>
      <c r="H63" s="132"/>
      <c r="I63" s="136"/>
      <c r="J63" s="136"/>
      <c r="K63" s="136"/>
      <c r="L63" s="136"/>
      <c r="M63" s="136"/>
      <c r="N63" s="136"/>
      <c r="O63" s="136"/>
      <c r="P63" s="136"/>
      <c r="Q63" s="136"/>
      <c r="R63" s="143"/>
      <c r="S63" s="144"/>
    </row>
    <row r="64" spans="1:19">
      <c r="A64" s="132"/>
      <c r="B64" s="133"/>
      <c r="C64" s="132"/>
      <c r="D64" s="132"/>
      <c r="E64" s="132"/>
      <c r="F64" s="132"/>
      <c r="G64" s="132"/>
      <c r="H64" s="132"/>
      <c r="I64" s="136"/>
      <c r="J64" s="136"/>
      <c r="K64" s="136"/>
      <c r="L64" s="136"/>
      <c r="M64" s="136"/>
      <c r="N64" s="136"/>
      <c r="O64" s="136"/>
      <c r="P64" s="136"/>
      <c r="Q64" s="136"/>
      <c r="R64" s="143"/>
      <c r="S64" s="144"/>
    </row>
    <row r="65" spans="1:19">
      <c r="A65" s="132"/>
      <c r="B65" s="133"/>
      <c r="C65" s="132"/>
      <c r="D65" s="132"/>
      <c r="E65" s="132"/>
      <c r="F65" s="132"/>
      <c r="G65" s="132"/>
      <c r="H65" s="132"/>
      <c r="I65" s="136"/>
      <c r="J65" s="136"/>
      <c r="K65" s="136"/>
      <c r="L65" s="136"/>
      <c r="M65" s="136"/>
      <c r="N65" s="136"/>
      <c r="O65" s="136"/>
      <c r="P65" s="136"/>
      <c r="Q65" s="136"/>
      <c r="R65" s="143"/>
      <c r="S65" s="144"/>
    </row>
    <row r="66" spans="1:19">
      <c r="A66" s="132"/>
      <c r="B66" s="133"/>
      <c r="C66" s="132"/>
      <c r="D66" s="132"/>
      <c r="E66" s="132"/>
      <c r="F66" s="132"/>
      <c r="G66" s="132"/>
      <c r="H66" s="132"/>
      <c r="I66" s="136"/>
      <c r="J66" s="136"/>
      <c r="K66" s="136"/>
      <c r="L66" s="136"/>
      <c r="M66" s="136"/>
      <c r="N66" s="136"/>
      <c r="O66" s="136"/>
      <c r="P66" s="136"/>
      <c r="Q66" s="136"/>
      <c r="R66" s="143"/>
      <c r="S66" s="144"/>
    </row>
    <row r="67" spans="1:19">
      <c r="A67" s="132"/>
      <c r="B67" s="133"/>
      <c r="C67" s="132"/>
      <c r="D67" s="132"/>
      <c r="E67" s="132"/>
      <c r="F67" s="132"/>
      <c r="G67" s="132"/>
      <c r="H67" s="132"/>
      <c r="I67" s="136"/>
      <c r="J67" s="136"/>
      <c r="K67" s="136"/>
      <c r="L67" s="136"/>
      <c r="M67" s="136"/>
      <c r="N67" s="136"/>
      <c r="O67" s="136"/>
      <c r="P67" s="136"/>
      <c r="Q67" s="136"/>
      <c r="R67" s="143"/>
      <c r="S67" s="144"/>
    </row>
    <row r="68" spans="1:19">
      <c r="A68" s="132"/>
      <c r="B68" s="133"/>
      <c r="C68" s="132"/>
      <c r="D68" s="132"/>
      <c r="E68" s="132"/>
      <c r="F68" s="132"/>
      <c r="G68" s="132"/>
      <c r="H68" s="132"/>
      <c r="I68" s="136"/>
      <c r="J68" s="136"/>
      <c r="K68" s="136"/>
      <c r="L68" s="136"/>
      <c r="M68" s="136"/>
      <c r="N68" s="136"/>
      <c r="O68" s="136"/>
      <c r="P68" s="136"/>
      <c r="Q68" s="136"/>
      <c r="R68" s="143"/>
      <c r="S68" s="144"/>
    </row>
    <row r="69" spans="1:19">
      <c r="A69" s="132"/>
      <c r="B69" s="133"/>
      <c r="C69" s="132"/>
      <c r="D69" s="132"/>
      <c r="E69" s="132"/>
      <c r="F69" s="132"/>
      <c r="G69" s="132"/>
      <c r="H69" s="132"/>
      <c r="I69" s="136"/>
      <c r="J69" s="136"/>
      <c r="K69" s="136"/>
      <c r="L69" s="136"/>
      <c r="M69" s="136"/>
      <c r="N69" s="136"/>
      <c r="O69" s="136"/>
      <c r="P69" s="136"/>
      <c r="Q69" s="136"/>
      <c r="R69" s="143"/>
      <c r="S69" s="144"/>
    </row>
    <row r="70" spans="1:19">
      <c r="A70" s="132"/>
      <c r="B70" s="133"/>
      <c r="C70" s="132"/>
      <c r="D70" s="132"/>
      <c r="E70" s="132"/>
      <c r="F70" s="132"/>
      <c r="G70" s="132"/>
      <c r="H70" s="132"/>
      <c r="I70" s="136"/>
      <c r="J70" s="136"/>
      <c r="K70" s="136"/>
      <c r="L70" s="136"/>
      <c r="M70" s="136"/>
      <c r="N70" s="136"/>
      <c r="O70" s="136"/>
      <c r="P70" s="136"/>
      <c r="Q70" s="136"/>
      <c r="R70" s="143"/>
      <c r="S70" s="144"/>
    </row>
    <row r="71" spans="1:19">
      <c r="A71" s="132"/>
      <c r="B71" s="133"/>
      <c r="C71" s="132"/>
      <c r="D71" s="132"/>
      <c r="E71" s="132"/>
      <c r="F71" s="132"/>
      <c r="G71" s="132"/>
      <c r="H71" s="132"/>
      <c r="I71" s="136"/>
      <c r="J71" s="136"/>
      <c r="K71" s="136"/>
      <c r="L71" s="136"/>
      <c r="M71" s="136"/>
      <c r="N71" s="136"/>
      <c r="O71" s="136"/>
      <c r="P71" s="136"/>
      <c r="Q71" s="136"/>
      <c r="R71" s="143"/>
      <c r="S71" s="144"/>
    </row>
    <row r="72" spans="1:19">
      <c r="A72" s="132"/>
      <c r="B72" s="133"/>
      <c r="C72" s="132"/>
      <c r="D72" s="132"/>
      <c r="E72" s="132"/>
      <c r="F72" s="132"/>
      <c r="G72" s="132"/>
      <c r="H72" s="132"/>
      <c r="I72" s="136"/>
      <c r="J72" s="136"/>
      <c r="K72" s="136"/>
      <c r="L72" s="136"/>
      <c r="M72" s="136"/>
      <c r="N72" s="136"/>
      <c r="O72" s="136"/>
      <c r="P72" s="136"/>
      <c r="Q72" s="136"/>
      <c r="R72" s="143"/>
      <c r="S72" s="144"/>
    </row>
    <row r="73" spans="1:19">
      <c r="A73" s="132"/>
      <c r="B73" s="133"/>
      <c r="C73" s="132"/>
      <c r="D73" s="132"/>
      <c r="E73" s="132"/>
      <c r="F73" s="132"/>
      <c r="G73" s="132"/>
      <c r="H73" s="132"/>
      <c r="I73" s="136"/>
      <c r="J73" s="136"/>
      <c r="K73" s="136"/>
      <c r="L73" s="136"/>
      <c r="M73" s="136"/>
      <c r="N73" s="136"/>
      <c r="O73" s="136"/>
      <c r="P73" s="136"/>
      <c r="Q73" s="136"/>
      <c r="R73" s="143"/>
      <c r="S73" s="144"/>
    </row>
    <row r="74" spans="1:19">
      <c r="A74" s="132"/>
      <c r="B74" s="133"/>
      <c r="C74" s="132"/>
      <c r="D74" s="132"/>
      <c r="E74" s="132"/>
      <c r="F74" s="132"/>
      <c r="G74" s="132"/>
      <c r="H74" s="132"/>
      <c r="I74" s="136"/>
      <c r="J74" s="136"/>
      <c r="K74" s="136"/>
      <c r="L74" s="136"/>
      <c r="M74" s="136"/>
      <c r="N74" s="136"/>
      <c r="O74" s="136"/>
      <c r="P74" s="136"/>
      <c r="Q74" s="136"/>
      <c r="R74" s="143"/>
      <c r="S74" s="144"/>
    </row>
    <row r="75" spans="1:19">
      <c r="A75" s="132"/>
      <c r="B75" s="133"/>
      <c r="C75" s="132"/>
      <c r="D75" s="132"/>
      <c r="E75" s="132"/>
      <c r="F75" s="132"/>
      <c r="G75" s="132"/>
      <c r="H75" s="132"/>
      <c r="I75" s="136"/>
      <c r="J75" s="136"/>
      <c r="K75" s="136"/>
      <c r="L75" s="136"/>
      <c r="M75" s="136"/>
      <c r="N75" s="136"/>
      <c r="O75" s="136"/>
      <c r="P75" s="136"/>
      <c r="Q75" s="136"/>
      <c r="R75" s="143"/>
      <c r="S75" s="144"/>
    </row>
    <row r="76" spans="1:19">
      <c r="A76" s="132"/>
      <c r="B76" s="133"/>
      <c r="C76" s="132"/>
      <c r="D76" s="132"/>
      <c r="E76" s="132"/>
      <c r="F76" s="132"/>
      <c r="G76" s="132"/>
      <c r="H76" s="132"/>
      <c r="I76" s="136"/>
      <c r="J76" s="136"/>
      <c r="K76" s="136"/>
      <c r="L76" s="136"/>
      <c r="M76" s="136"/>
      <c r="N76" s="136"/>
      <c r="O76" s="136"/>
      <c r="P76" s="136"/>
      <c r="Q76" s="136"/>
      <c r="R76" s="143"/>
      <c r="S76" s="144"/>
    </row>
    <row r="77" spans="1:19">
      <c r="A77" s="132"/>
      <c r="B77" s="133"/>
      <c r="C77" s="132"/>
      <c r="D77" s="132"/>
      <c r="E77" s="132"/>
      <c r="F77" s="132"/>
      <c r="G77" s="132"/>
      <c r="H77" s="132"/>
      <c r="I77" s="136"/>
      <c r="J77" s="136"/>
      <c r="K77" s="136"/>
      <c r="L77" s="136"/>
      <c r="M77" s="136"/>
      <c r="N77" s="136"/>
      <c r="O77" s="136"/>
      <c r="P77" s="136"/>
      <c r="Q77" s="136"/>
      <c r="R77" s="143"/>
      <c r="S77" s="144"/>
    </row>
    <row r="78" spans="1:19">
      <c r="A78" s="132"/>
      <c r="B78" s="133"/>
      <c r="C78" s="132"/>
      <c r="D78" s="132"/>
      <c r="E78" s="132"/>
      <c r="F78" s="132"/>
      <c r="G78" s="132"/>
      <c r="H78" s="132"/>
      <c r="I78" s="136"/>
      <c r="J78" s="136"/>
      <c r="K78" s="136"/>
      <c r="L78" s="136"/>
      <c r="M78" s="136"/>
      <c r="N78" s="136"/>
      <c r="O78" s="136"/>
      <c r="P78" s="136"/>
      <c r="Q78" s="136"/>
      <c r="R78" s="143"/>
      <c r="S78" s="144"/>
    </row>
    <row r="79" spans="1:19">
      <c r="A79" s="132"/>
      <c r="B79" s="133"/>
      <c r="C79" s="132"/>
      <c r="D79" s="132"/>
      <c r="E79" s="132"/>
      <c r="F79" s="132"/>
      <c r="G79" s="132"/>
      <c r="H79" s="132"/>
      <c r="I79" s="136"/>
      <c r="J79" s="136"/>
      <c r="K79" s="136"/>
      <c r="L79" s="136"/>
      <c r="M79" s="136"/>
      <c r="N79" s="136"/>
      <c r="O79" s="136"/>
      <c r="P79" s="136"/>
      <c r="Q79" s="136"/>
      <c r="R79" s="143"/>
      <c r="S79" s="144"/>
    </row>
    <row r="80" spans="1:19">
      <c r="A80" s="132"/>
      <c r="B80" s="133"/>
      <c r="C80" s="132"/>
      <c r="D80" s="132"/>
      <c r="E80" s="132"/>
      <c r="F80" s="132"/>
      <c r="G80" s="132"/>
      <c r="H80" s="132"/>
      <c r="I80" s="136"/>
      <c r="J80" s="136"/>
      <c r="K80" s="136"/>
      <c r="L80" s="136"/>
      <c r="M80" s="136"/>
      <c r="N80" s="136"/>
      <c r="O80" s="136"/>
      <c r="P80" s="136"/>
      <c r="Q80" s="136"/>
      <c r="R80" s="143"/>
      <c r="S80" s="144"/>
    </row>
    <row r="81" spans="1:19">
      <c r="A81" s="132"/>
      <c r="B81" s="133"/>
      <c r="C81" s="132"/>
      <c r="D81" s="132"/>
      <c r="E81" s="132"/>
      <c r="F81" s="132"/>
      <c r="G81" s="132"/>
      <c r="H81" s="132"/>
      <c r="I81" s="136"/>
      <c r="J81" s="136"/>
      <c r="K81" s="136"/>
      <c r="L81" s="136"/>
      <c r="M81" s="136"/>
      <c r="N81" s="136"/>
      <c r="O81" s="136"/>
      <c r="P81" s="136"/>
      <c r="Q81" s="136"/>
      <c r="R81" s="143"/>
      <c r="S81" s="144"/>
    </row>
    <row r="82" spans="1:19">
      <c r="A82" s="132"/>
      <c r="B82" s="133"/>
      <c r="C82" s="132"/>
      <c r="D82" s="132"/>
      <c r="E82" s="132"/>
      <c r="F82" s="132"/>
      <c r="G82" s="132"/>
      <c r="H82" s="132"/>
      <c r="I82" s="136"/>
      <c r="J82" s="136"/>
      <c r="K82" s="136"/>
      <c r="L82" s="136"/>
      <c r="M82" s="136"/>
      <c r="N82" s="136"/>
      <c r="O82" s="136"/>
      <c r="P82" s="136"/>
      <c r="Q82" s="136"/>
      <c r="R82" s="143"/>
      <c r="S82" s="144"/>
    </row>
    <row r="83" spans="1:19">
      <c r="A83" s="132"/>
      <c r="B83" s="133"/>
      <c r="C83" s="132"/>
      <c r="D83" s="132"/>
      <c r="E83" s="132"/>
      <c r="F83" s="132"/>
      <c r="G83" s="132"/>
      <c r="H83" s="132"/>
      <c r="I83" s="136"/>
      <c r="J83" s="136"/>
      <c r="K83" s="136"/>
      <c r="L83" s="136"/>
      <c r="M83" s="136"/>
      <c r="N83" s="136"/>
      <c r="O83" s="136"/>
      <c r="P83" s="136"/>
      <c r="Q83" s="136"/>
      <c r="R83" s="143"/>
      <c r="S83" s="144"/>
    </row>
    <row r="84" spans="1:19">
      <c r="A84" s="132"/>
      <c r="B84" s="133"/>
      <c r="C84" s="132"/>
      <c r="D84" s="132"/>
      <c r="E84" s="132"/>
      <c r="F84" s="132"/>
      <c r="G84" s="132"/>
      <c r="H84" s="132"/>
      <c r="I84" s="136"/>
      <c r="J84" s="136"/>
      <c r="K84" s="136"/>
      <c r="L84" s="136"/>
      <c r="M84" s="136"/>
      <c r="N84" s="136"/>
      <c r="O84" s="136"/>
      <c r="P84" s="136"/>
      <c r="Q84" s="136"/>
      <c r="R84" s="143"/>
      <c r="S84" s="144"/>
    </row>
    <row r="85" spans="1:19">
      <c r="A85" s="132"/>
      <c r="B85" s="133"/>
      <c r="C85" s="132"/>
      <c r="D85" s="132"/>
      <c r="E85" s="132"/>
      <c r="F85" s="132"/>
      <c r="G85" s="132"/>
      <c r="H85" s="132"/>
      <c r="I85" s="136"/>
      <c r="J85" s="136"/>
      <c r="K85" s="136"/>
      <c r="L85" s="136"/>
      <c r="M85" s="136"/>
      <c r="N85" s="136"/>
      <c r="O85" s="136"/>
      <c r="P85" s="136"/>
      <c r="Q85" s="136"/>
      <c r="R85" s="143"/>
      <c r="S85" s="144"/>
    </row>
    <row r="86" spans="1:19">
      <c r="A86" s="134">
        <v>2</v>
      </c>
      <c r="B86" s="135" t="s">
        <v>21</v>
      </c>
      <c r="C86" s="134"/>
      <c r="D86" s="134"/>
      <c r="E86" s="134"/>
      <c r="F86" s="134"/>
      <c r="G86" s="134"/>
      <c r="H86" s="134"/>
      <c r="I86" s="136"/>
      <c r="J86" s="136"/>
      <c r="K86" s="136"/>
      <c r="L86" s="136"/>
      <c r="M86" s="136"/>
      <c r="N86" s="136"/>
      <c r="O86" s="136"/>
      <c r="P86" s="136"/>
      <c r="Q86" s="136"/>
      <c r="R86" s="145"/>
      <c r="S86" s="146"/>
    </row>
    <row r="87" spans="1:19">
      <c r="A87" s="132"/>
      <c r="B87" s="133"/>
      <c r="C87" s="132"/>
      <c r="D87" s="132"/>
      <c r="E87" s="132"/>
      <c r="F87" s="132"/>
      <c r="G87" s="132"/>
      <c r="H87" s="132"/>
      <c r="I87" s="136"/>
      <c r="J87" s="136"/>
      <c r="K87" s="136"/>
      <c r="L87" s="136"/>
      <c r="M87" s="136"/>
      <c r="N87" s="136"/>
      <c r="O87" s="136"/>
      <c r="P87" s="136"/>
      <c r="Q87" s="136"/>
      <c r="R87" s="143"/>
      <c r="S87" s="144"/>
    </row>
    <row r="88" outlineLevel="2" spans="1:19">
      <c r="A88" s="136"/>
      <c r="B88" s="150" t="s">
        <v>22</v>
      </c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45"/>
      <c r="S88" s="144"/>
    </row>
    <row r="89" spans="1:19">
      <c r="A89" s="132"/>
      <c r="B89" s="133"/>
      <c r="C89" s="132"/>
      <c r="D89" s="132"/>
      <c r="E89" s="132"/>
      <c r="F89" s="132"/>
      <c r="G89" s="132"/>
      <c r="H89" s="132"/>
      <c r="I89" s="136"/>
      <c r="J89" s="136"/>
      <c r="K89" s="136"/>
      <c r="L89" s="136"/>
      <c r="M89" s="136"/>
      <c r="N89" s="136"/>
      <c r="O89" s="136"/>
      <c r="P89" s="136"/>
      <c r="Q89" s="136"/>
      <c r="R89" s="143"/>
      <c r="S89" s="144"/>
    </row>
    <row r="90" spans="1:19">
      <c r="A90" s="132"/>
      <c r="B90" s="133"/>
      <c r="C90" s="132"/>
      <c r="D90" s="132"/>
      <c r="E90" s="132"/>
      <c r="F90" s="132"/>
      <c r="G90" s="132"/>
      <c r="H90" s="132"/>
      <c r="I90" s="136"/>
      <c r="J90" s="136"/>
      <c r="K90" s="136"/>
      <c r="L90" s="136"/>
      <c r="M90" s="136"/>
      <c r="N90" s="136"/>
      <c r="O90" s="136"/>
      <c r="P90" s="136"/>
      <c r="Q90" s="136"/>
      <c r="R90" s="143"/>
      <c r="S90" s="144"/>
    </row>
    <row r="91" spans="1:19">
      <c r="A91" s="132"/>
      <c r="B91" s="133"/>
      <c r="C91" s="132"/>
      <c r="D91" s="132"/>
      <c r="E91" s="132"/>
      <c r="F91" s="132"/>
      <c r="G91" s="132"/>
      <c r="H91" s="132"/>
      <c r="I91" s="136"/>
      <c r="J91" s="136"/>
      <c r="K91" s="136"/>
      <c r="L91" s="136"/>
      <c r="M91" s="136"/>
      <c r="N91" s="136"/>
      <c r="O91" s="136"/>
      <c r="P91" s="136"/>
      <c r="Q91" s="136"/>
      <c r="R91" s="143"/>
      <c r="S91" s="144"/>
    </row>
    <row r="92" spans="1:19">
      <c r="A92" s="132"/>
      <c r="B92" s="133"/>
      <c r="C92" s="132"/>
      <c r="D92" s="132"/>
      <c r="E92" s="132"/>
      <c r="F92" s="132"/>
      <c r="G92" s="132"/>
      <c r="H92" s="132"/>
      <c r="I92" s="136"/>
      <c r="J92" s="136"/>
      <c r="K92" s="136"/>
      <c r="L92" s="136"/>
      <c r="M92" s="136"/>
      <c r="N92" s="136"/>
      <c r="O92" s="136"/>
      <c r="P92" s="136"/>
      <c r="Q92" s="136"/>
      <c r="R92" s="143"/>
      <c r="S92" s="144"/>
    </row>
    <row r="93" spans="1:19">
      <c r="A93" s="132"/>
      <c r="B93" s="133"/>
      <c r="C93" s="132"/>
      <c r="D93" s="132"/>
      <c r="E93" s="132"/>
      <c r="F93" s="132"/>
      <c r="G93" s="132"/>
      <c r="H93" s="132"/>
      <c r="I93" s="136"/>
      <c r="J93" s="136"/>
      <c r="K93" s="136"/>
      <c r="L93" s="136"/>
      <c r="M93" s="136"/>
      <c r="N93" s="136"/>
      <c r="O93" s="136"/>
      <c r="P93" s="136"/>
      <c r="Q93" s="136"/>
      <c r="R93" s="143"/>
      <c r="S93" s="144"/>
    </row>
    <row r="94" spans="1:19">
      <c r="A94" s="132"/>
      <c r="B94" s="133"/>
      <c r="C94" s="132"/>
      <c r="D94" s="132"/>
      <c r="E94" s="132"/>
      <c r="F94" s="132"/>
      <c r="G94" s="132"/>
      <c r="H94" s="132"/>
      <c r="I94" s="136"/>
      <c r="J94" s="136"/>
      <c r="K94" s="136"/>
      <c r="L94" s="136"/>
      <c r="M94" s="136"/>
      <c r="N94" s="136"/>
      <c r="O94" s="136"/>
      <c r="P94" s="136"/>
      <c r="Q94" s="136"/>
      <c r="R94" s="143"/>
      <c r="S94" s="144"/>
    </row>
    <row r="95" spans="1:19">
      <c r="A95" s="132"/>
      <c r="B95" s="133"/>
      <c r="C95" s="132"/>
      <c r="D95" s="132"/>
      <c r="E95" s="132"/>
      <c r="F95" s="132"/>
      <c r="G95" s="132"/>
      <c r="H95" s="132"/>
      <c r="I95" s="136"/>
      <c r="J95" s="136"/>
      <c r="K95" s="136"/>
      <c r="L95" s="136"/>
      <c r="M95" s="136"/>
      <c r="N95" s="136"/>
      <c r="O95" s="136"/>
      <c r="P95" s="136"/>
      <c r="Q95" s="136"/>
      <c r="R95" s="143"/>
      <c r="S95" s="144"/>
    </row>
    <row r="96" spans="1:19">
      <c r="A96" s="132"/>
      <c r="B96" s="133"/>
      <c r="C96" s="132"/>
      <c r="D96" s="132"/>
      <c r="E96" s="132"/>
      <c r="F96" s="132"/>
      <c r="G96" s="132"/>
      <c r="H96" s="132"/>
      <c r="I96" s="136"/>
      <c r="J96" s="136"/>
      <c r="K96" s="136"/>
      <c r="L96" s="136"/>
      <c r="M96" s="136"/>
      <c r="N96" s="136"/>
      <c r="O96" s="136"/>
      <c r="P96" s="136"/>
      <c r="Q96" s="136"/>
      <c r="R96" s="143"/>
      <c r="S96" s="144"/>
    </row>
    <row r="97" spans="1:19">
      <c r="A97" s="132"/>
      <c r="B97" s="133"/>
      <c r="C97" s="132"/>
      <c r="D97" s="132"/>
      <c r="E97" s="132"/>
      <c r="F97" s="132"/>
      <c r="G97" s="132"/>
      <c r="H97" s="132"/>
      <c r="I97" s="136"/>
      <c r="J97" s="136"/>
      <c r="K97" s="136"/>
      <c r="L97" s="136"/>
      <c r="M97" s="136"/>
      <c r="N97" s="136"/>
      <c r="O97" s="136"/>
      <c r="P97" s="136"/>
      <c r="Q97" s="136"/>
      <c r="R97" s="143"/>
      <c r="S97" s="144"/>
    </row>
    <row r="98" spans="1:19">
      <c r="A98" s="132"/>
      <c r="B98" s="133"/>
      <c r="C98" s="132"/>
      <c r="D98" s="132"/>
      <c r="E98" s="132"/>
      <c r="F98" s="132"/>
      <c r="G98" s="132"/>
      <c r="H98" s="132"/>
      <c r="I98" s="136"/>
      <c r="J98" s="136"/>
      <c r="K98" s="136"/>
      <c r="L98" s="136"/>
      <c r="M98" s="136"/>
      <c r="N98" s="136"/>
      <c r="O98" s="136"/>
      <c r="P98" s="136"/>
      <c r="Q98" s="136"/>
      <c r="R98" s="143"/>
      <c r="S98" s="144"/>
    </row>
    <row r="99" spans="1:19">
      <c r="A99" s="132"/>
      <c r="B99" s="133"/>
      <c r="C99" s="132"/>
      <c r="D99" s="132"/>
      <c r="E99" s="132"/>
      <c r="F99" s="132"/>
      <c r="G99" s="132"/>
      <c r="H99" s="132"/>
      <c r="I99" s="136"/>
      <c r="J99" s="136"/>
      <c r="K99" s="136"/>
      <c r="L99" s="136"/>
      <c r="M99" s="136"/>
      <c r="N99" s="136"/>
      <c r="O99" s="136"/>
      <c r="P99" s="136"/>
      <c r="Q99" s="136"/>
      <c r="R99" s="143"/>
      <c r="S99" s="144"/>
    </row>
    <row r="100" spans="1:19">
      <c r="A100" s="132"/>
      <c r="B100" s="133"/>
      <c r="C100" s="132"/>
      <c r="D100" s="132"/>
      <c r="E100" s="132"/>
      <c r="F100" s="132"/>
      <c r="G100" s="132"/>
      <c r="H100" s="132"/>
      <c r="I100" s="136"/>
      <c r="J100" s="136"/>
      <c r="K100" s="136"/>
      <c r="L100" s="136"/>
      <c r="M100" s="136"/>
      <c r="N100" s="136"/>
      <c r="O100" s="136"/>
      <c r="P100" s="136"/>
      <c r="Q100" s="136"/>
      <c r="R100" s="143"/>
      <c r="S100" s="144"/>
    </row>
    <row r="101" spans="1:19">
      <c r="A101" s="132"/>
      <c r="B101" s="133"/>
      <c r="C101" s="132"/>
      <c r="D101" s="132"/>
      <c r="E101" s="132"/>
      <c r="F101" s="132"/>
      <c r="G101" s="132"/>
      <c r="H101" s="132"/>
      <c r="I101" s="136"/>
      <c r="J101" s="136"/>
      <c r="K101" s="136"/>
      <c r="L101" s="136"/>
      <c r="M101" s="136"/>
      <c r="N101" s="136"/>
      <c r="O101" s="136"/>
      <c r="P101" s="136"/>
      <c r="Q101" s="136"/>
      <c r="R101" s="143"/>
      <c r="S101" s="144"/>
    </row>
    <row r="102" spans="1:19">
      <c r="A102" s="132"/>
      <c r="B102" s="133"/>
      <c r="C102" s="132"/>
      <c r="D102" s="132"/>
      <c r="E102" s="132"/>
      <c r="F102" s="132"/>
      <c r="G102" s="132"/>
      <c r="H102" s="132"/>
      <c r="I102" s="136"/>
      <c r="J102" s="136"/>
      <c r="K102" s="136"/>
      <c r="L102" s="136"/>
      <c r="M102" s="136"/>
      <c r="N102" s="136"/>
      <c r="O102" s="136"/>
      <c r="P102" s="136"/>
      <c r="Q102" s="136"/>
      <c r="R102" s="143"/>
      <c r="S102" s="144"/>
    </row>
    <row r="103" spans="1:19">
      <c r="A103" s="132"/>
      <c r="B103" s="133"/>
      <c r="C103" s="132"/>
      <c r="D103" s="132"/>
      <c r="E103" s="132"/>
      <c r="F103" s="132"/>
      <c r="G103" s="132"/>
      <c r="H103" s="132"/>
      <c r="I103" s="136"/>
      <c r="J103" s="136"/>
      <c r="K103" s="136"/>
      <c r="L103" s="136"/>
      <c r="M103" s="136"/>
      <c r="N103" s="136"/>
      <c r="O103" s="136"/>
      <c r="P103" s="136"/>
      <c r="Q103" s="136"/>
      <c r="R103" s="143"/>
      <c r="S103" s="144"/>
    </row>
    <row r="104" spans="1:19">
      <c r="A104" s="132"/>
      <c r="B104" s="133"/>
      <c r="C104" s="132"/>
      <c r="D104" s="132"/>
      <c r="E104" s="132"/>
      <c r="F104" s="132"/>
      <c r="G104" s="132"/>
      <c r="H104" s="132"/>
      <c r="I104" s="136"/>
      <c r="J104" s="136"/>
      <c r="K104" s="136"/>
      <c r="L104" s="136"/>
      <c r="M104" s="136"/>
      <c r="N104" s="136"/>
      <c r="O104" s="136"/>
      <c r="P104" s="136"/>
      <c r="Q104" s="136"/>
      <c r="R104" s="143"/>
      <c r="S104" s="144"/>
    </row>
    <row r="105" spans="1:19">
      <c r="A105" s="132"/>
      <c r="B105" s="133"/>
      <c r="C105" s="132"/>
      <c r="D105" s="132"/>
      <c r="E105" s="132"/>
      <c r="F105" s="132"/>
      <c r="G105" s="132"/>
      <c r="H105" s="132"/>
      <c r="I105" s="136"/>
      <c r="J105" s="136"/>
      <c r="K105" s="136"/>
      <c r="L105" s="136"/>
      <c r="M105" s="136"/>
      <c r="N105" s="136"/>
      <c r="O105" s="136"/>
      <c r="P105" s="136"/>
      <c r="Q105" s="136"/>
      <c r="R105" s="143"/>
      <c r="S105" s="144"/>
    </row>
    <row r="106" spans="1:19">
      <c r="A106" s="132"/>
      <c r="B106" s="133"/>
      <c r="C106" s="132"/>
      <c r="D106" s="132"/>
      <c r="E106" s="132"/>
      <c r="F106" s="132"/>
      <c r="G106" s="132"/>
      <c r="H106" s="132"/>
      <c r="I106" s="136"/>
      <c r="J106" s="136"/>
      <c r="K106" s="136"/>
      <c r="L106" s="136"/>
      <c r="M106" s="136"/>
      <c r="N106" s="136"/>
      <c r="O106" s="136"/>
      <c r="P106" s="136"/>
      <c r="Q106" s="136"/>
      <c r="R106" s="143"/>
      <c r="S106" s="144"/>
    </row>
    <row r="107" spans="1:19">
      <c r="A107" s="132"/>
      <c r="B107" s="133"/>
      <c r="C107" s="132"/>
      <c r="D107" s="132"/>
      <c r="E107" s="132"/>
      <c r="F107" s="132"/>
      <c r="G107" s="132"/>
      <c r="H107" s="132"/>
      <c r="I107" s="136"/>
      <c r="J107" s="136"/>
      <c r="K107" s="136"/>
      <c r="L107" s="136"/>
      <c r="M107" s="136"/>
      <c r="N107" s="136"/>
      <c r="O107" s="136"/>
      <c r="P107" s="136"/>
      <c r="Q107" s="136"/>
      <c r="R107" s="143"/>
      <c r="S107" s="144"/>
    </row>
    <row r="108" spans="1:19">
      <c r="A108" s="132"/>
      <c r="B108" s="133"/>
      <c r="C108" s="132"/>
      <c r="D108" s="132"/>
      <c r="E108" s="132"/>
      <c r="F108" s="132"/>
      <c r="G108" s="132"/>
      <c r="H108" s="132"/>
      <c r="I108" s="136"/>
      <c r="J108" s="136"/>
      <c r="K108" s="136"/>
      <c r="L108" s="136"/>
      <c r="M108" s="136"/>
      <c r="N108" s="136"/>
      <c r="O108" s="136"/>
      <c r="P108" s="136"/>
      <c r="Q108" s="136"/>
      <c r="R108" s="143"/>
      <c r="S108" s="144"/>
    </row>
    <row r="109" spans="1:19">
      <c r="A109" s="132"/>
      <c r="B109" s="133"/>
      <c r="C109" s="132"/>
      <c r="D109" s="132"/>
      <c r="E109" s="132"/>
      <c r="F109" s="132"/>
      <c r="G109" s="132"/>
      <c r="H109" s="132"/>
      <c r="I109" s="136"/>
      <c r="J109" s="136"/>
      <c r="K109" s="136"/>
      <c r="L109" s="136"/>
      <c r="M109" s="136"/>
      <c r="N109" s="136"/>
      <c r="O109" s="136"/>
      <c r="P109" s="136"/>
      <c r="Q109" s="136"/>
      <c r="R109" s="143"/>
      <c r="S109" s="144"/>
    </row>
    <row r="110" spans="1:19">
      <c r="A110" s="132"/>
      <c r="B110" s="133"/>
      <c r="C110" s="132"/>
      <c r="D110" s="132"/>
      <c r="E110" s="132"/>
      <c r="F110" s="132"/>
      <c r="G110" s="132"/>
      <c r="H110" s="132"/>
      <c r="I110" s="136"/>
      <c r="J110" s="136"/>
      <c r="K110" s="136"/>
      <c r="L110" s="136"/>
      <c r="M110" s="136"/>
      <c r="N110" s="136"/>
      <c r="O110" s="136"/>
      <c r="P110" s="136"/>
      <c r="Q110" s="136"/>
      <c r="R110" s="143"/>
      <c r="S110" s="144"/>
    </row>
    <row r="111" spans="1:19">
      <c r="A111" s="132"/>
      <c r="B111" s="133"/>
      <c r="C111" s="132"/>
      <c r="D111" s="132"/>
      <c r="E111" s="132"/>
      <c r="F111" s="132"/>
      <c r="G111" s="132"/>
      <c r="H111" s="132"/>
      <c r="I111" s="136"/>
      <c r="J111" s="136"/>
      <c r="K111" s="136"/>
      <c r="L111" s="136"/>
      <c r="M111" s="136"/>
      <c r="N111" s="136"/>
      <c r="O111" s="136"/>
      <c r="P111" s="136"/>
      <c r="Q111" s="136"/>
      <c r="R111" s="143"/>
      <c r="S111" s="144"/>
    </row>
    <row r="112" spans="1:19">
      <c r="A112" s="132"/>
      <c r="B112" s="133"/>
      <c r="C112" s="132"/>
      <c r="D112" s="132"/>
      <c r="E112" s="132"/>
      <c r="F112" s="132"/>
      <c r="G112" s="132"/>
      <c r="H112" s="132"/>
      <c r="I112" s="136"/>
      <c r="J112" s="136"/>
      <c r="K112" s="136"/>
      <c r="L112" s="136"/>
      <c r="M112" s="136"/>
      <c r="N112" s="136"/>
      <c r="O112" s="136"/>
      <c r="P112" s="136"/>
      <c r="Q112" s="136"/>
      <c r="R112" s="143"/>
      <c r="S112" s="144"/>
    </row>
    <row r="113" spans="1:19">
      <c r="A113" s="132"/>
      <c r="B113" s="133"/>
      <c r="C113" s="132"/>
      <c r="D113" s="132"/>
      <c r="E113" s="132"/>
      <c r="F113" s="132"/>
      <c r="G113" s="132"/>
      <c r="H113" s="132"/>
      <c r="I113" s="136"/>
      <c r="J113" s="136"/>
      <c r="K113" s="136"/>
      <c r="L113" s="136"/>
      <c r="M113" s="136"/>
      <c r="N113" s="136"/>
      <c r="O113" s="136"/>
      <c r="P113" s="136"/>
      <c r="Q113" s="136"/>
      <c r="R113" s="143"/>
      <c r="S113" s="144"/>
    </row>
    <row r="114" spans="1:19">
      <c r="A114" s="132"/>
      <c r="B114" s="133"/>
      <c r="C114" s="132"/>
      <c r="D114" s="132"/>
      <c r="E114" s="132"/>
      <c r="F114" s="132"/>
      <c r="G114" s="132"/>
      <c r="H114" s="132"/>
      <c r="I114" s="136"/>
      <c r="J114" s="136"/>
      <c r="K114" s="136"/>
      <c r="L114" s="136"/>
      <c r="M114" s="136"/>
      <c r="N114" s="136"/>
      <c r="O114" s="136"/>
      <c r="P114" s="136"/>
      <c r="Q114" s="136"/>
      <c r="R114" s="143"/>
      <c r="S114" s="144"/>
    </row>
    <row r="115" spans="1:19">
      <c r="A115" s="132"/>
      <c r="B115" s="133"/>
      <c r="C115" s="132"/>
      <c r="D115" s="132"/>
      <c r="E115" s="132"/>
      <c r="F115" s="132"/>
      <c r="G115" s="132"/>
      <c r="H115" s="132"/>
      <c r="I115" s="136"/>
      <c r="J115" s="136"/>
      <c r="K115" s="136"/>
      <c r="L115" s="136"/>
      <c r="M115" s="136"/>
      <c r="N115" s="136"/>
      <c r="O115" s="136"/>
      <c r="P115" s="136"/>
      <c r="Q115" s="136"/>
      <c r="R115" s="143"/>
      <c r="S115" s="144"/>
    </row>
    <row r="116" spans="1:19">
      <c r="A116" s="132"/>
      <c r="B116" s="133"/>
      <c r="C116" s="132"/>
      <c r="D116" s="132"/>
      <c r="E116" s="132"/>
      <c r="F116" s="132"/>
      <c r="G116" s="132"/>
      <c r="H116" s="132"/>
      <c r="I116" s="136"/>
      <c r="J116" s="136"/>
      <c r="K116" s="136"/>
      <c r="L116" s="136"/>
      <c r="M116" s="136"/>
      <c r="N116" s="136"/>
      <c r="O116" s="136"/>
      <c r="P116" s="136"/>
      <c r="Q116" s="136"/>
      <c r="R116" s="143"/>
      <c r="S116" s="144"/>
    </row>
    <row r="117" spans="1:19">
      <c r="A117" s="132"/>
      <c r="B117" s="133"/>
      <c r="C117" s="132"/>
      <c r="D117" s="132"/>
      <c r="E117" s="132"/>
      <c r="F117" s="132"/>
      <c r="G117" s="132"/>
      <c r="H117" s="132"/>
      <c r="I117" s="136"/>
      <c r="J117" s="136"/>
      <c r="K117" s="136"/>
      <c r="L117" s="136"/>
      <c r="M117" s="136"/>
      <c r="N117" s="136"/>
      <c r="O117" s="136"/>
      <c r="P117" s="136"/>
      <c r="Q117" s="136"/>
      <c r="R117" s="143"/>
      <c r="S117" s="144"/>
    </row>
    <row r="118" spans="1:19">
      <c r="A118" s="132"/>
      <c r="B118" s="133"/>
      <c r="C118" s="132"/>
      <c r="D118" s="132"/>
      <c r="E118" s="132"/>
      <c r="F118" s="132"/>
      <c r="G118" s="132"/>
      <c r="H118" s="132"/>
      <c r="I118" s="136"/>
      <c r="J118" s="136"/>
      <c r="K118" s="136"/>
      <c r="L118" s="136"/>
      <c r="M118" s="136"/>
      <c r="N118" s="136"/>
      <c r="O118" s="136"/>
      <c r="P118" s="136"/>
      <c r="Q118" s="136"/>
      <c r="R118" s="143"/>
      <c r="S118" s="144"/>
    </row>
    <row r="119" spans="1:19">
      <c r="A119" s="132"/>
      <c r="B119" s="133"/>
      <c r="C119" s="132"/>
      <c r="D119" s="132"/>
      <c r="E119" s="132"/>
      <c r="F119" s="132"/>
      <c r="G119" s="132"/>
      <c r="H119" s="132"/>
      <c r="I119" s="136"/>
      <c r="J119" s="136"/>
      <c r="K119" s="136"/>
      <c r="L119" s="136"/>
      <c r="M119" s="136"/>
      <c r="N119" s="136"/>
      <c r="O119" s="136"/>
      <c r="P119" s="136"/>
      <c r="Q119" s="136"/>
      <c r="R119" s="143"/>
      <c r="S119" s="144"/>
    </row>
    <row r="120" spans="1:19">
      <c r="A120" s="132"/>
      <c r="B120" s="133"/>
      <c r="C120" s="132"/>
      <c r="D120" s="132"/>
      <c r="E120" s="132"/>
      <c r="F120" s="132"/>
      <c r="G120" s="132"/>
      <c r="H120" s="132"/>
      <c r="I120" s="136"/>
      <c r="J120" s="136"/>
      <c r="K120" s="136"/>
      <c r="L120" s="136"/>
      <c r="M120" s="136"/>
      <c r="N120" s="136"/>
      <c r="O120" s="136"/>
      <c r="P120" s="136"/>
      <c r="Q120" s="136"/>
      <c r="R120" s="143"/>
      <c r="S120" s="144"/>
    </row>
    <row r="121" spans="1:19">
      <c r="A121" s="132"/>
      <c r="B121" s="133"/>
      <c r="C121" s="132"/>
      <c r="D121" s="132"/>
      <c r="E121" s="132"/>
      <c r="F121" s="132"/>
      <c r="G121" s="132"/>
      <c r="H121" s="132"/>
      <c r="I121" s="136"/>
      <c r="J121" s="136"/>
      <c r="K121" s="136"/>
      <c r="L121" s="136"/>
      <c r="M121" s="136"/>
      <c r="N121" s="136"/>
      <c r="O121" s="136"/>
      <c r="P121" s="136"/>
      <c r="Q121" s="136"/>
      <c r="R121" s="143"/>
      <c r="S121" s="144"/>
    </row>
    <row r="122" spans="1:19">
      <c r="A122" s="132"/>
      <c r="B122" s="133"/>
      <c r="C122" s="132"/>
      <c r="D122" s="132"/>
      <c r="E122" s="132"/>
      <c r="F122" s="132"/>
      <c r="G122" s="132"/>
      <c r="H122" s="132"/>
      <c r="I122" s="136"/>
      <c r="J122" s="136"/>
      <c r="K122" s="136"/>
      <c r="L122" s="136"/>
      <c r="M122" s="136"/>
      <c r="N122" s="136"/>
      <c r="O122" s="136"/>
      <c r="P122" s="136"/>
      <c r="Q122" s="136"/>
      <c r="R122" s="143"/>
      <c r="S122" s="144"/>
    </row>
    <row r="123" spans="1:19">
      <c r="A123" s="132"/>
      <c r="B123" s="133"/>
      <c r="C123" s="132"/>
      <c r="D123" s="132"/>
      <c r="E123" s="132"/>
      <c r="F123" s="132"/>
      <c r="G123" s="132"/>
      <c r="H123" s="132"/>
      <c r="I123" s="136"/>
      <c r="J123" s="136"/>
      <c r="K123" s="136"/>
      <c r="L123" s="136"/>
      <c r="M123" s="136"/>
      <c r="N123" s="136"/>
      <c r="O123" s="136"/>
      <c r="P123" s="136"/>
      <c r="Q123" s="136"/>
      <c r="R123" s="143"/>
      <c r="S123" s="144"/>
    </row>
    <row r="124" spans="1:19">
      <c r="A124" s="132"/>
      <c r="B124" s="133"/>
      <c r="C124" s="132"/>
      <c r="D124" s="132"/>
      <c r="E124" s="132"/>
      <c r="F124" s="132"/>
      <c r="G124" s="132"/>
      <c r="H124" s="132"/>
      <c r="I124" s="136"/>
      <c r="J124" s="136"/>
      <c r="K124" s="136"/>
      <c r="L124" s="136"/>
      <c r="M124" s="136"/>
      <c r="N124" s="136"/>
      <c r="O124" s="136"/>
      <c r="P124" s="136"/>
      <c r="Q124" s="136"/>
      <c r="R124" s="143"/>
      <c r="S124" s="144"/>
    </row>
    <row r="125" spans="1:19">
      <c r="A125" s="132"/>
      <c r="B125" s="133"/>
      <c r="C125" s="132"/>
      <c r="D125" s="132"/>
      <c r="E125" s="132"/>
      <c r="F125" s="132"/>
      <c r="G125" s="132"/>
      <c r="H125" s="132"/>
      <c r="I125" s="136"/>
      <c r="J125" s="136"/>
      <c r="K125" s="136"/>
      <c r="L125" s="136"/>
      <c r="M125" s="136"/>
      <c r="N125" s="136"/>
      <c r="O125" s="136"/>
      <c r="P125" s="136"/>
      <c r="Q125" s="136"/>
      <c r="R125" s="143"/>
      <c r="S125" s="144"/>
    </row>
    <row r="126" spans="1:19">
      <c r="A126" s="132"/>
      <c r="B126" s="133"/>
      <c r="C126" s="132"/>
      <c r="D126" s="132"/>
      <c r="E126" s="132"/>
      <c r="F126" s="132"/>
      <c r="G126" s="132"/>
      <c r="H126" s="132"/>
      <c r="I126" s="136"/>
      <c r="J126" s="136"/>
      <c r="K126" s="136"/>
      <c r="L126" s="136"/>
      <c r="M126" s="136"/>
      <c r="N126" s="136"/>
      <c r="O126" s="136"/>
      <c r="P126" s="136"/>
      <c r="Q126" s="136"/>
      <c r="R126" s="143"/>
      <c r="S126" s="144"/>
    </row>
    <row r="127" spans="1:19">
      <c r="A127" s="132"/>
      <c r="B127" s="133"/>
      <c r="C127" s="132"/>
      <c r="D127" s="132"/>
      <c r="E127" s="132"/>
      <c r="F127" s="132"/>
      <c r="G127" s="132"/>
      <c r="H127" s="132"/>
      <c r="I127" s="136"/>
      <c r="J127" s="136"/>
      <c r="K127" s="136"/>
      <c r="L127" s="136"/>
      <c r="M127" s="136"/>
      <c r="N127" s="136"/>
      <c r="O127" s="136"/>
      <c r="P127" s="136"/>
      <c r="Q127" s="136"/>
      <c r="R127" s="143"/>
      <c r="S127" s="144"/>
    </row>
    <row r="128" spans="1:19">
      <c r="A128" s="132"/>
      <c r="B128" s="133"/>
      <c r="C128" s="132"/>
      <c r="D128" s="132"/>
      <c r="E128" s="132"/>
      <c r="F128" s="132"/>
      <c r="G128" s="132"/>
      <c r="H128" s="132"/>
      <c r="I128" s="136"/>
      <c r="J128" s="136"/>
      <c r="K128" s="136"/>
      <c r="L128" s="136"/>
      <c r="M128" s="136"/>
      <c r="N128" s="136"/>
      <c r="O128" s="136"/>
      <c r="P128" s="136"/>
      <c r="Q128" s="136"/>
      <c r="R128" s="143"/>
      <c r="S128" s="144"/>
    </row>
    <row r="129" spans="1:19">
      <c r="A129" s="132"/>
      <c r="B129" s="133"/>
      <c r="C129" s="132"/>
      <c r="D129" s="132"/>
      <c r="E129" s="132"/>
      <c r="F129" s="132"/>
      <c r="G129" s="132"/>
      <c r="H129" s="132"/>
      <c r="I129" s="136"/>
      <c r="J129" s="136"/>
      <c r="K129" s="136"/>
      <c r="L129" s="136"/>
      <c r="M129" s="136"/>
      <c r="N129" s="136"/>
      <c r="O129" s="136"/>
      <c r="P129" s="136"/>
      <c r="Q129" s="136"/>
      <c r="R129" s="143"/>
      <c r="S129" s="144"/>
    </row>
    <row r="130" spans="1:19">
      <c r="A130" s="132"/>
      <c r="B130" s="133"/>
      <c r="C130" s="132"/>
      <c r="D130" s="132"/>
      <c r="E130" s="132"/>
      <c r="F130" s="132"/>
      <c r="G130" s="132"/>
      <c r="H130" s="132"/>
      <c r="I130" s="136"/>
      <c r="J130" s="136"/>
      <c r="K130" s="136"/>
      <c r="L130" s="136"/>
      <c r="M130" s="136"/>
      <c r="N130" s="136"/>
      <c r="O130" s="136"/>
      <c r="P130" s="136"/>
      <c r="Q130" s="136"/>
      <c r="R130" s="143"/>
      <c r="S130" s="144"/>
    </row>
    <row r="131" spans="1:19">
      <c r="A131" s="132"/>
      <c r="B131" s="133"/>
      <c r="C131" s="132"/>
      <c r="D131" s="132"/>
      <c r="E131" s="132"/>
      <c r="F131" s="132"/>
      <c r="G131" s="132"/>
      <c r="H131" s="132"/>
      <c r="I131" s="136"/>
      <c r="J131" s="136"/>
      <c r="K131" s="136"/>
      <c r="L131" s="136"/>
      <c r="M131" s="136"/>
      <c r="N131" s="136"/>
      <c r="O131" s="136"/>
      <c r="P131" s="136"/>
      <c r="Q131" s="136"/>
      <c r="R131" s="143"/>
      <c r="S131" s="144"/>
    </row>
    <row r="132" spans="1:19">
      <c r="A132" s="132"/>
      <c r="B132" s="133"/>
      <c r="C132" s="132"/>
      <c r="D132" s="132"/>
      <c r="E132" s="132"/>
      <c r="F132" s="132"/>
      <c r="G132" s="132"/>
      <c r="H132" s="132"/>
      <c r="I132" s="136"/>
      <c r="J132" s="136"/>
      <c r="K132" s="136"/>
      <c r="L132" s="136"/>
      <c r="M132" s="136"/>
      <c r="N132" s="136"/>
      <c r="O132" s="136"/>
      <c r="P132" s="136"/>
      <c r="Q132" s="136"/>
      <c r="R132" s="143"/>
      <c r="S132" s="144"/>
    </row>
    <row r="133" spans="1:19">
      <c r="A133" s="132"/>
      <c r="B133" s="133"/>
      <c r="C133" s="132"/>
      <c r="D133" s="132"/>
      <c r="E133" s="132"/>
      <c r="F133" s="132"/>
      <c r="G133" s="132"/>
      <c r="H133" s="132"/>
      <c r="I133" s="136"/>
      <c r="J133" s="136"/>
      <c r="K133" s="136"/>
      <c r="L133" s="136"/>
      <c r="M133" s="136"/>
      <c r="N133" s="136"/>
      <c r="O133" s="136"/>
      <c r="P133" s="136"/>
      <c r="Q133" s="136"/>
      <c r="R133" s="143"/>
      <c r="S133" s="144"/>
    </row>
    <row r="134" spans="1:19">
      <c r="A134" s="132"/>
      <c r="B134" s="133"/>
      <c r="C134" s="132"/>
      <c r="D134" s="132"/>
      <c r="E134" s="132"/>
      <c r="F134" s="132"/>
      <c r="G134" s="132"/>
      <c r="H134" s="132"/>
      <c r="I134" s="136"/>
      <c r="J134" s="136"/>
      <c r="K134" s="136"/>
      <c r="L134" s="136"/>
      <c r="M134" s="136"/>
      <c r="N134" s="136"/>
      <c r="O134" s="136"/>
      <c r="P134" s="136"/>
      <c r="Q134" s="136"/>
      <c r="R134" s="143"/>
      <c r="S134" s="144"/>
    </row>
    <row r="135" spans="1:19">
      <c r="A135" s="132"/>
      <c r="B135" s="133"/>
      <c r="C135" s="132"/>
      <c r="D135" s="132"/>
      <c r="E135" s="132"/>
      <c r="F135" s="132"/>
      <c r="G135" s="132"/>
      <c r="H135" s="132"/>
      <c r="I135" s="136"/>
      <c r="J135" s="136"/>
      <c r="K135" s="136"/>
      <c r="L135" s="136"/>
      <c r="M135" s="136"/>
      <c r="N135" s="136"/>
      <c r="O135" s="136"/>
      <c r="P135" s="136"/>
      <c r="Q135" s="136"/>
      <c r="R135" s="143"/>
      <c r="S135" s="144"/>
    </row>
    <row r="136" spans="1:19">
      <c r="A136" s="132"/>
      <c r="B136" s="133"/>
      <c r="C136" s="132"/>
      <c r="D136" s="132"/>
      <c r="E136" s="132"/>
      <c r="F136" s="132"/>
      <c r="G136" s="132"/>
      <c r="H136" s="132"/>
      <c r="I136" s="136"/>
      <c r="J136" s="136"/>
      <c r="K136" s="136"/>
      <c r="L136" s="136"/>
      <c r="M136" s="136"/>
      <c r="N136" s="136"/>
      <c r="O136" s="136"/>
      <c r="P136" s="136"/>
      <c r="Q136" s="136"/>
      <c r="R136" s="143"/>
      <c r="S136" s="144"/>
    </row>
    <row r="137" spans="1:19">
      <c r="A137" s="134">
        <v>1</v>
      </c>
      <c r="B137" s="151" t="s">
        <v>23</v>
      </c>
      <c r="C137" s="134"/>
      <c r="D137" s="134"/>
      <c r="E137" s="134"/>
      <c r="F137" s="134"/>
      <c r="G137" s="134"/>
      <c r="H137" s="134"/>
      <c r="I137" s="136"/>
      <c r="J137" s="136"/>
      <c r="K137" s="136"/>
      <c r="L137" s="136"/>
      <c r="M137" s="136"/>
      <c r="N137" s="136"/>
      <c r="O137" s="136"/>
      <c r="P137" s="136"/>
      <c r="Q137" s="136"/>
      <c r="R137" s="145"/>
      <c r="S137" s="146"/>
    </row>
    <row r="138" outlineLevel="2" spans="1:19">
      <c r="A138" s="136"/>
      <c r="B138" s="152" t="s">
        <v>24</v>
      </c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45"/>
      <c r="S138" s="144"/>
    </row>
    <row r="139" outlineLevel="2" spans="1:19">
      <c r="A139" s="136"/>
      <c r="B139" s="153" t="s">
        <v>25</v>
      </c>
      <c r="C139" s="136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45"/>
      <c r="S139" s="144"/>
    </row>
    <row r="140" outlineLevel="2" spans="1:19">
      <c r="A140" s="136"/>
      <c r="B140" s="150" t="s">
        <v>26</v>
      </c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45"/>
      <c r="S140" s="144"/>
    </row>
    <row r="141" spans="1:19">
      <c r="A141" s="132"/>
      <c r="B141" s="133"/>
      <c r="C141" s="132"/>
      <c r="D141" s="132"/>
      <c r="E141" s="132"/>
      <c r="F141" s="132"/>
      <c r="G141" s="132"/>
      <c r="H141" s="132"/>
      <c r="I141" s="136"/>
      <c r="J141" s="136"/>
      <c r="K141" s="136"/>
      <c r="L141" s="136"/>
      <c r="M141" s="136"/>
      <c r="N141" s="136"/>
      <c r="O141" s="136"/>
      <c r="P141" s="136"/>
      <c r="Q141" s="136"/>
      <c r="R141" s="143"/>
      <c r="S141" s="144"/>
    </row>
    <row r="142" spans="1:19">
      <c r="A142" s="132"/>
      <c r="B142" s="133"/>
      <c r="C142" s="132"/>
      <c r="D142" s="132"/>
      <c r="E142" s="132"/>
      <c r="F142" s="132"/>
      <c r="G142" s="132"/>
      <c r="H142" s="132"/>
      <c r="I142" s="136"/>
      <c r="J142" s="136"/>
      <c r="K142" s="136"/>
      <c r="L142" s="136"/>
      <c r="M142" s="136"/>
      <c r="N142" s="136"/>
      <c r="O142" s="136"/>
      <c r="P142" s="136"/>
      <c r="Q142" s="136"/>
      <c r="R142" s="143"/>
      <c r="S142" s="144"/>
    </row>
    <row r="143" spans="1:19">
      <c r="A143" s="134">
        <v>2</v>
      </c>
      <c r="B143" s="151" t="s">
        <v>27</v>
      </c>
      <c r="C143" s="134"/>
      <c r="D143" s="134"/>
      <c r="E143" s="134"/>
      <c r="F143" s="134"/>
      <c r="G143" s="134"/>
      <c r="H143" s="134"/>
      <c r="I143" s="136"/>
      <c r="J143" s="136"/>
      <c r="K143" s="136"/>
      <c r="L143" s="136"/>
      <c r="M143" s="136"/>
      <c r="N143" s="136"/>
      <c r="O143" s="136"/>
      <c r="P143" s="136"/>
      <c r="Q143" s="136"/>
      <c r="R143" s="145"/>
      <c r="S143" s="146"/>
    </row>
    <row r="144" outlineLevel="2" spans="1:19">
      <c r="A144" s="136"/>
      <c r="B144" s="150" t="s">
        <v>28</v>
      </c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45"/>
      <c r="S144" s="144"/>
    </row>
    <row r="145" outlineLevel="2" spans="1:19">
      <c r="A145" s="136"/>
      <c r="B145" s="150" t="s">
        <v>29</v>
      </c>
      <c r="C145" s="136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45"/>
      <c r="S145" s="144"/>
    </row>
    <row r="146" outlineLevel="2" spans="1:19">
      <c r="A146" s="136"/>
      <c r="B146" s="150" t="s">
        <v>30</v>
      </c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45"/>
      <c r="S146" s="144"/>
    </row>
    <row r="147" outlineLevel="2" spans="1:19">
      <c r="A147" s="136"/>
      <c r="B147" s="150" t="s">
        <v>31</v>
      </c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45"/>
      <c r="S147" s="144"/>
    </row>
    <row r="148" outlineLevel="2" spans="1:19">
      <c r="A148" s="136"/>
      <c r="B148" s="150" t="s">
        <v>32</v>
      </c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45"/>
      <c r="S148" s="144"/>
    </row>
    <row r="149" outlineLevel="2" spans="1:19">
      <c r="A149" s="136"/>
      <c r="B149" s="150" t="s">
        <v>33</v>
      </c>
      <c r="C149" s="136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45"/>
      <c r="S149" s="144"/>
    </row>
    <row r="150" outlineLevel="2" spans="1:19">
      <c r="A150" s="136"/>
      <c r="B150" s="150" t="s">
        <v>34</v>
      </c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45"/>
      <c r="S150" s="144"/>
    </row>
    <row r="151" outlineLevel="2" spans="1:19">
      <c r="A151" s="136"/>
      <c r="B151" s="150" t="s">
        <v>35</v>
      </c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36"/>
      <c r="O151" s="136"/>
      <c r="P151" s="136"/>
      <c r="Q151" s="136"/>
      <c r="R151" s="145"/>
      <c r="S151" s="144"/>
    </row>
    <row r="152" outlineLevel="2" spans="1:19">
      <c r="A152" s="136"/>
      <c r="B152" s="150" t="s">
        <v>36</v>
      </c>
      <c r="C152" s="136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45"/>
      <c r="S152" s="144"/>
    </row>
    <row r="153" outlineLevel="2" spans="1:19">
      <c r="A153" s="136"/>
      <c r="B153" s="150" t="s">
        <v>37</v>
      </c>
      <c r="C153" s="136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45"/>
      <c r="S153" s="144"/>
    </row>
    <row r="154" outlineLevel="2" spans="1:19">
      <c r="A154" s="136"/>
      <c r="B154" s="150" t="s">
        <v>38</v>
      </c>
      <c r="C154" s="136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45"/>
      <c r="S154" s="144"/>
    </row>
    <row r="155" outlineLevel="2" spans="1:19">
      <c r="A155" s="136"/>
      <c r="B155" s="150" t="s">
        <v>39</v>
      </c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45"/>
      <c r="S155" s="144"/>
    </row>
    <row r="156" outlineLevel="2" spans="1:19">
      <c r="A156" s="136"/>
      <c r="B156" s="150" t="s">
        <v>40</v>
      </c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45"/>
      <c r="S156" s="144"/>
    </row>
    <row r="157" outlineLevel="2" spans="1:19">
      <c r="A157" s="136"/>
      <c r="B157" s="150" t="s">
        <v>41</v>
      </c>
      <c r="C157" s="136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36"/>
      <c r="O157" s="136"/>
      <c r="P157" s="136"/>
      <c r="Q157" s="136"/>
      <c r="R157" s="145"/>
      <c r="S157" s="144"/>
    </row>
    <row r="158" outlineLevel="2" spans="1:19">
      <c r="A158" s="136"/>
      <c r="B158" s="150" t="s">
        <v>42</v>
      </c>
      <c r="C158" s="136"/>
      <c r="D158" s="136"/>
      <c r="E158" s="136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45"/>
      <c r="S158" s="144"/>
    </row>
    <row r="159" outlineLevel="2" spans="1:19">
      <c r="A159" s="136"/>
      <c r="B159" s="150" t="s">
        <v>43</v>
      </c>
      <c r="C159" s="136"/>
      <c r="D159" s="136"/>
      <c r="E159" s="136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45"/>
      <c r="S159" s="144"/>
    </row>
    <row r="160" outlineLevel="2" spans="1:19">
      <c r="A160" s="136"/>
      <c r="B160" s="150" t="s">
        <v>44</v>
      </c>
      <c r="C160" s="136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45"/>
      <c r="S160" s="144"/>
    </row>
    <row r="161" outlineLevel="2" spans="1:19">
      <c r="A161" s="136"/>
      <c r="B161" s="150" t="s">
        <v>45</v>
      </c>
      <c r="C161" s="136"/>
      <c r="D161" s="136"/>
      <c r="E161" s="136"/>
      <c r="F161" s="136"/>
      <c r="G161" s="136"/>
      <c r="H161" s="136"/>
      <c r="I161" s="136"/>
      <c r="J161" s="136"/>
      <c r="K161" s="136"/>
      <c r="L161" s="136"/>
      <c r="M161" s="136"/>
      <c r="N161" s="136"/>
      <c r="O161" s="136"/>
      <c r="P161" s="136"/>
      <c r="Q161" s="136"/>
      <c r="R161" s="145"/>
      <c r="S161" s="144"/>
    </row>
    <row r="162" outlineLevel="2" spans="1:19">
      <c r="A162" s="136"/>
      <c r="B162" s="150" t="s">
        <v>46</v>
      </c>
      <c r="C162" s="136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  <c r="P162" s="136"/>
      <c r="Q162" s="136"/>
      <c r="R162" s="145"/>
      <c r="S162" s="144"/>
    </row>
    <row r="163" outlineLevel="2" spans="1:19">
      <c r="A163" s="136"/>
      <c r="B163" s="150" t="s">
        <v>47</v>
      </c>
      <c r="C163" s="136"/>
      <c r="D163" s="136"/>
      <c r="E163" s="136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45"/>
      <c r="S163" s="144"/>
    </row>
    <row r="164" outlineLevel="2" spans="1:19">
      <c r="A164" s="136"/>
      <c r="B164" s="150" t="s">
        <v>48</v>
      </c>
      <c r="C164" s="136"/>
      <c r="D164" s="136"/>
      <c r="E164" s="136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45"/>
      <c r="S164" s="144"/>
    </row>
    <row r="165" outlineLevel="2" spans="1:19">
      <c r="A165" s="136"/>
      <c r="B165" s="150" t="s">
        <v>49</v>
      </c>
      <c r="C165" s="136"/>
      <c r="D165" s="136"/>
      <c r="E165" s="136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45"/>
      <c r="S165" s="144"/>
    </row>
    <row r="166" outlineLevel="2" spans="1:19">
      <c r="A166" s="136"/>
      <c r="B166" s="150" t="s">
        <v>50</v>
      </c>
      <c r="C166" s="136"/>
      <c r="D166" s="136"/>
      <c r="E166" s="136"/>
      <c r="F166" s="136"/>
      <c r="G166" s="136"/>
      <c r="H166" s="136"/>
      <c r="I166" s="136"/>
      <c r="J166" s="136"/>
      <c r="K166" s="136"/>
      <c r="L166" s="136"/>
      <c r="M166" s="136"/>
      <c r="N166" s="136"/>
      <c r="O166" s="136"/>
      <c r="P166" s="136"/>
      <c r="Q166" s="136"/>
      <c r="R166" s="145"/>
      <c r="S166" s="144"/>
    </row>
    <row r="167" outlineLevel="2" spans="1:19">
      <c r="A167" s="136"/>
      <c r="B167" s="150" t="s">
        <v>51</v>
      </c>
      <c r="C167" s="136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45"/>
      <c r="S167" s="144"/>
    </row>
    <row r="168" spans="1:19">
      <c r="A168" s="132"/>
      <c r="B168" s="133"/>
      <c r="C168" s="132"/>
      <c r="D168" s="132"/>
      <c r="E168" s="132"/>
      <c r="F168" s="132"/>
      <c r="G168" s="132"/>
      <c r="H168" s="132"/>
      <c r="I168" s="136"/>
      <c r="J168" s="136"/>
      <c r="K168" s="136"/>
      <c r="L168" s="136"/>
      <c r="M168" s="136"/>
      <c r="N168" s="136"/>
      <c r="O168" s="136"/>
      <c r="P168" s="136"/>
      <c r="Q168" s="136"/>
      <c r="R168" s="143"/>
      <c r="S168" s="144"/>
    </row>
    <row r="169" spans="1:19">
      <c r="A169" s="154">
        <v>3</v>
      </c>
      <c r="B169" s="151" t="s">
        <v>52</v>
      </c>
      <c r="C169" s="134"/>
      <c r="D169" s="134"/>
      <c r="E169" s="134"/>
      <c r="F169" s="134"/>
      <c r="G169" s="134"/>
      <c r="H169" s="134"/>
      <c r="I169" s="136"/>
      <c r="J169" s="136"/>
      <c r="K169" s="136"/>
      <c r="L169" s="136"/>
      <c r="M169" s="136"/>
      <c r="N169" s="136"/>
      <c r="O169" s="136"/>
      <c r="P169" s="136"/>
      <c r="Q169" s="136"/>
      <c r="R169" s="145"/>
      <c r="S169" s="146"/>
    </row>
    <row r="170" spans="1:19">
      <c r="A170" s="132"/>
      <c r="B170" s="133"/>
      <c r="C170" s="132"/>
      <c r="D170" s="132"/>
      <c r="E170" s="132"/>
      <c r="F170" s="132"/>
      <c r="G170" s="132"/>
      <c r="H170" s="132"/>
      <c r="I170" s="136"/>
      <c r="J170" s="136"/>
      <c r="K170" s="136"/>
      <c r="L170" s="136"/>
      <c r="M170" s="136"/>
      <c r="N170" s="136"/>
      <c r="O170" s="136"/>
      <c r="P170" s="136"/>
      <c r="Q170" s="136"/>
      <c r="R170" s="143"/>
      <c r="S170" s="144"/>
    </row>
    <row r="171" spans="1:19">
      <c r="A171" s="132"/>
      <c r="B171" s="133"/>
      <c r="C171" s="132"/>
      <c r="D171" s="132"/>
      <c r="E171" s="132"/>
      <c r="F171" s="132"/>
      <c r="G171" s="132"/>
      <c r="H171" s="132"/>
      <c r="I171" s="136"/>
      <c r="J171" s="136"/>
      <c r="K171" s="136"/>
      <c r="L171" s="136"/>
      <c r="M171" s="136"/>
      <c r="N171" s="136"/>
      <c r="O171" s="136"/>
      <c r="P171" s="136"/>
      <c r="Q171" s="136"/>
      <c r="R171" s="143"/>
      <c r="S171" s="144"/>
    </row>
    <row r="172" spans="1:19">
      <c r="A172" s="132"/>
      <c r="B172" s="133"/>
      <c r="C172" s="132"/>
      <c r="D172" s="132"/>
      <c r="E172" s="132"/>
      <c r="F172" s="132"/>
      <c r="G172" s="132"/>
      <c r="H172" s="132"/>
      <c r="I172" s="136"/>
      <c r="J172" s="136"/>
      <c r="K172" s="136"/>
      <c r="L172" s="136"/>
      <c r="M172" s="136"/>
      <c r="N172" s="136"/>
      <c r="O172" s="136"/>
      <c r="P172" s="136"/>
      <c r="Q172" s="136"/>
      <c r="R172" s="143"/>
      <c r="S172" s="144"/>
    </row>
    <row r="173" spans="1:19">
      <c r="A173" s="154">
        <v>4</v>
      </c>
      <c r="B173" s="151" t="s">
        <v>53</v>
      </c>
      <c r="C173" s="134"/>
      <c r="D173" s="134"/>
      <c r="E173" s="134"/>
      <c r="F173" s="134"/>
      <c r="G173" s="134"/>
      <c r="H173" s="134"/>
      <c r="I173" s="136"/>
      <c r="J173" s="136"/>
      <c r="K173" s="136"/>
      <c r="L173" s="136"/>
      <c r="M173" s="136"/>
      <c r="N173" s="136"/>
      <c r="O173" s="136"/>
      <c r="P173" s="136"/>
      <c r="Q173" s="136"/>
      <c r="R173" s="145"/>
      <c r="S173" s="146"/>
    </row>
  </sheetData>
  <mergeCells count="3">
    <mergeCell ref="R3:Z3"/>
    <mergeCell ref="AA3:AH3"/>
    <mergeCell ref="AI3:AK3"/>
  </mergeCells>
  <dataValidations count="1">
    <dataValidation type="list" allowBlank="1" showInputMessage="1" sqref="W5:W52 W53:W55 W56:W58 W59:W67 W68:W84 W85:W173" errorStyle="information">
      <formula1>"m,m2,m3,个,套,t,kg,株,项"</formula1>
    </dataValidation>
  </dataValidations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H25"/>
  <sheetViews>
    <sheetView showGridLines="0" workbookViewId="0">
      <selection activeCell="G48" sqref="G48"/>
    </sheetView>
  </sheetViews>
  <sheetFormatPr defaultColWidth="6.75" defaultRowHeight="11.25" outlineLevelCol="7"/>
  <cols>
    <col min="1" max="1" width="4.875" style="3" customWidth="1"/>
    <col min="2" max="2" width="13.5" style="3" customWidth="1"/>
    <col min="3" max="3" width="27.625" style="3" customWidth="1"/>
    <col min="4" max="4" width="6.5" style="3" customWidth="1"/>
    <col min="5" max="5" width="10" style="3" customWidth="1"/>
    <col min="6" max="6" width="2.5" style="3" customWidth="1"/>
    <col min="7" max="7" width="7.625" style="3" customWidth="1"/>
    <col min="8" max="8" width="12.25" style="3" customWidth="1"/>
    <col min="9" max="16384" width="6.75" style="3"/>
  </cols>
  <sheetData>
    <row r="1" ht="48" customHeight="1" spans="1:8">
      <c r="A1" s="92" t="s">
        <v>54</v>
      </c>
      <c r="B1" s="92"/>
      <c r="C1" s="92"/>
      <c r="D1" s="92"/>
      <c r="E1" s="93"/>
      <c r="F1" s="93"/>
      <c r="G1" s="93"/>
      <c r="H1" s="93"/>
    </row>
    <row r="2" ht="25.5" customHeight="1" spans="1:8">
      <c r="A2" s="94" t="s">
        <v>55</v>
      </c>
      <c r="B2" s="94"/>
      <c r="C2" s="94"/>
      <c r="D2" s="94"/>
      <c r="E2" s="95" t="s">
        <v>56</v>
      </c>
      <c r="F2" s="95"/>
      <c r="G2" s="96" t="s">
        <v>57</v>
      </c>
      <c r="H2" s="96"/>
    </row>
    <row r="3" ht="28.5" customHeight="1" spans="1:8">
      <c r="A3" s="97" t="s">
        <v>4</v>
      </c>
      <c r="B3" s="98" t="s">
        <v>58</v>
      </c>
      <c r="C3" s="98" t="s">
        <v>59</v>
      </c>
      <c r="D3" s="98" t="s">
        <v>60</v>
      </c>
      <c r="E3" s="98" t="s">
        <v>7</v>
      </c>
      <c r="F3" s="98" t="s">
        <v>61</v>
      </c>
      <c r="G3" s="98"/>
      <c r="H3" s="99"/>
    </row>
    <row r="4" ht="28.5" customHeight="1" spans="1:8">
      <c r="A4" s="100"/>
      <c r="B4" s="101"/>
      <c r="C4" s="101"/>
      <c r="D4" s="101"/>
      <c r="E4" s="101"/>
      <c r="F4" s="101" t="s">
        <v>62</v>
      </c>
      <c r="G4" s="101"/>
      <c r="H4" s="102" t="s">
        <v>63</v>
      </c>
    </row>
    <row r="5" ht="18" customHeight="1" spans="1:8">
      <c r="A5" s="103"/>
      <c r="B5" s="104"/>
      <c r="C5" s="105" t="s">
        <v>64</v>
      </c>
      <c r="D5" s="104"/>
      <c r="E5" s="104"/>
      <c r="F5" s="104"/>
      <c r="G5" s="104"/>
      <c r="H5" s="106"/>
    </row>
    <row r="6" ht="21" customHeight="1" spans="1:8">
      <c r="A6" s="107">
        <v>1</v>
      </c>
      <c r="B6" s="104" t="s">
        <v>65</v>
      </c>
      <c r="C6" s="104" t="s">
        <v>66</v>
      </c>
      <c r="D6" s="108" t="s">
        <v>67</v>
      </c>
      <c r="E6" s="109">
        <v>2</v>
      </c>
      <c r="F6" s="109">
        <v>7522.94</v>
      </c>
      <c r="G6" s="109"/>
      <c r="H6" s="110">
        <v>15045.88</v>
      </c>
    </row>
    <row r="7" ht="21" customHeight="1" spans="1:8">
      <c r="A7" s="103"/>
      <c r="B7" s="104" t="s">
        <v>68</v>
      </c>
      <c r="C7" s="104" t="s">
        <v>66</v>
      </c>
      <c r="D7" s="108" t="s">
        <v>67</v>
      </c>
      <c r="E7" s="109">
        <v>2</v>
      </c>
      <c r="F7" s="109">
        <v>7522.94</v>
      </c>
      <c r="G7" s="109"/>
      <c r="H7" s="110">
        <v>15045.88</v>
      </c>
    </row>
    <row r="8" ht="21" customHeight="1" spans="1:8">
      <c r="A8" s="107">
        <v>2</v>
      </c>
      <c r="B8" s="104" t="s">
        <v>69</v>
      </c>
      <c r="C8" s="104" t="s">
        <v>70</v>
      </c>
      <c r="D8" s="108" t="s">
        <v>67</v>
      </c>
      <c r="E8" s="109">
        <v>4</v>
      </c>
      <c r="F8" s="109">
        <v>17064.22</v>
      </c>
      <c r="G8" s="109"/>
      <c r="H8" s="110">
        <v>68256.88</v>
      </c>
    </row>
    <row r="9" ht="21" customHeight="1" spans="1:8">
      <c r="A9" s="103"/>
      <c r="B9" s="104" t="s">
        <v>71</v>
      </c>
      <c r="C9" s="104" t="s">
        <v>70</v>
      </c>
      <c r="D9" s="108" t="s">
        <v>67</v>
      </c>
      <c r="E9" s="109">
        <v>4</v>
      </c>
      <c r="F9" s="109">
        <v>17064.22</v>
      </c>
      <c r="G9" s="109"/>
      <c r="H9" s="110">
        <v>68256.88</v>
      </c>
    </row>
    <row r="10" ht="21" customHeight="1" spans="1:8">
      <c r="A10" s="107">
        <v>3</v>
      </c>
      <c r="B10" s="104" t="s">
        <v>72</v>
      </c>
      <c r="C10" s="104" t="s">
        <v>73</v>
      </c>
      <c r="D10" s="108" t="s">
        <v>67</v>
      </c>
      <c r="E10" s="109">
        <v>8</v>
      </c>
      <c r="F10" s="109">
        <v>5504.59</v>
      </c>
      <c r="G10" s="109"/>
      <c r="H10" s="110">
        <v>44036.72</v>
      </c>
    </row>
    <row r="11" ht="21" customHeight="1" spans="1:8">
      <c r="A11" s="103"/>
      <c r="B11" s="104" t="s">
        <v>74</v>
      </c>
      <c r="C11" s="104" t="s">
        <v>73</v>
      </c>
      <c r="D11" s="108" t="s">
        <v>67</v>
      </c>
      <c r="E11" s="109">
        <v>8</v>
      </c>
      <c r="F11" s="109">
        <v>5504.59</v>
      </c>
      <c r="G11" s="109"/>
      <c r="H11" s="110">
        <v>44036.72</v>
      </c>
    </row>
    <row r="12" ht="21" customHeight="1" spans="1:8">
      <c r="A12" s="107">
        <v>4</v>
      </c>
      <c r="B12" s="104" t="s">
        <v>75</v>
      </c>
      <c r="C12" s="104" t="s">
        <v>76</v>
      </c>
      <c r="D12" s="108" t="s">
        <v>67</v>
      </c>
      <c r="E12" s="109">
        <v>8</v>
      </c>
      <c r="F12" s="109">
        <v>6055.05</v>
      </c>
      <c r="G12" s="109"/>
      <c r="H12" s="110">
        <v>48440.4</v>
      </c>
    </row>
    <row r="13" ht="21" customHeight="1" spans="1:8">
      <c r="A13" s="103"/>
      <c r="B13" s="104" t="s">
        <v>77</v>
      </c>
      <c r="C13" s="104" t="s">
        <v>76</v>
      </c>
      <c r="D13" s="108" t="s">
        <v>67</v>
      </c>
      <c r="E13" s="109">
        <v>8</v>
      </c>
      <c r="F13" s="109">
        <v>6055.05</v>
      </c>
      <c r="G13" s="109"/>
      <c r="H13" s="110">
        <v>48440.4</v>
      </c>
    </row>
    <row r="14" ht="21" customHeight="1" spans="1:8">
      <c r="A14" s="107">
        <v>5</v>
      </c>
      <c r="B14" s="104" t="s">
        <v>78</v>
      </c>
      <c r="C14" s="104" t="s">
        <v>79</v>
      </c>
      <c r="D14" s="108" t="s">
        <v>67</v>
      </c>
      <c r="E14" s="109">
        <v>2</v>
      </c>
      <c r="F14" s="109">
        <v>422.02</v>
      </c>
      <c r="G14" s="109"/>
      <c r="H14" s="110">
        <v>844.04</v>
      </c>
    </row>
    <row r="15" ht="21" customHeight="1" spans="1:8">
      <c r="A15" s="103"/>
      <c r="B15" s="104" t="s">
        <v>80</v>
      </c>
      <c r="C15" s="104" t="s">
        <v>79</v>
      </c>
      <c r="D15" s="108" t="s">
        <v>67</v>
      </c>
      <c r="E15" s="109">
        <v>2</v>
      </c>
      <c r="F15" s="109">
        <v>422.02</v>
      </c>
      <c r="G15" s="109"/>
      <c r="H15" s="110">
        <v>844.04</v>
      </c>
    </row>
    <row r="16" ht="21" customHeight="1" spans="1:8">
      <c r="A16" s="107">
        <v>6</v>
      </c>
      <c r="B16" s="104" t="s">
        <v>81</v>
      </c>
      <c r="C16" s="104" t="s">
        <v>82</v>
      </c>
      <c r="D16" s="108" t="s">
        <v>67</v>
      </c>
      <c r="E16" s="109">
        <v>2</v>
      </c>
      <c r="F16" s="109">
        <v>5779.82</v>
      </c>
      <c r="G16" s="109"/>
      <c r="H16" s="110">
        <v>11559.64</v>
      </c>
    </row>
    <row r="17" ht="21" customHeight="1" spans="1:8">
      <c r="A17" s="103"/>
      <c r="B17" s="104" t="s">
        <v>83</v>
      </c>
      <c r="C17" s="104" t="s">
        <v>82</v>
      </c>
      <c r="D17" s="108" t="s">
        <v>67</v>
      </c>
      <c r="E17" s="109">
        <v>2</v>
      </c>
      <c r="F17" s="109">
        <v>5779.82</v>
      </c>
      <c r="G17" s="109"/>
      <c r="H17" s="110">
        <v>11559.64</v>
      </c>
    </row>
    <row r="18" ht="21" customHeight="1" spans="1:8">
      <c r="A18" s="107">
        <v>7</v>
      </c>
      <c r="B18" s="104" t="s">
        <v>84</v>
      </c>
      <c r="C18" s="104" t="s">
        <v>85</v>
      </c>
      <c r="D18" s="108" t="s">
        <v>67</v>
      </c>
      <c r="E18" s="109">
        <v>10</v>
      </c>
      <c r="F18" s="109">
        <v>422.02</v>
      </c>
      <c r="G18" s="109"/>
      <c r="H18" s="110">
        <v>4220.2</v>
      </c>
    </row>
    <row r="19" ht="21" customHeight="1" spans="1:8">
      <c r="A19" s="103"/>
      <c r="B19" s="104" t="s">
        <v>86</v>
      </c>
      <c r="C19" s="104" t="s">
        <v>85</v>
      </c>
      <c r="D19" s="108" t="s">
        <v>67</v>
      </c>
      <c r="E19" s="109">
        <v>10</v>
      </c>
      <c r="F19" s="109">
        <v>422.02</v>
      </c>
      <c r="G19" s="109"/>
      <c r="H19" s="110">
        <v>4220.2</v>
      </c>
    </row>
    <row r="20" ht="21" customHeight="1" spans="1:8">
      <c r="A20" s="107">
        <v>8</v>
      </c>
      <c r="B20" s="104" t="s">
        <v>87</v>
      </c>
      <c r="C20" s="104" t="s">
        <v>88</v>
      </c>
      <c r="D20" s="108" t="s">
        <v>67</v>
      </c>
      <c r="E20" s="109">
        <v>31</v>
      </c>
      <c r="F20" s="109">
        <v>3211.01</v>
      </c>
      <c r="G20" s="109"/>
      <c r="H20" s="110">
        <v>99541.31</v>
      </c>
    </row>
    <row r="21" ht="21" customHeight="1" spans="1:8">
      <c r="A21" s="103"/>
      <c r="B21" s="104" t="s">
        <v>89</v>
      </c>
      <c r="C21" s="104" t="s">
        <v>88</v>
      </c>
      <c r="D21" s="108" t="s">
        <v>67</v>
      </c>
      <c r="E21" s="109">
        <v>31</v>
      </c>
      <c r="F21" s="109">
        <v>3211.01</v>
      </c>
      <c r="G21" s="109"/>
      <c r="H21" s="110">
        <v>99541.31</v>
      </c>
    </row>
    <row r="22" ht="21" customHeight="1" spans="1:8">
      <c r="A22" s="107">
        <v>9</v>
      </c>
      <c r="B22" s="104" t="s">
        <v>90</v>
      </c>
      <c r="C22" s="104" t="s">
        <v>91</v>
      </c>
      <c r="D22" s="108" t="s">
        <v>67</v>
      </c>
      <c r="E22" s="109">
        <v>30</v>
      </c>
      <c r="F22" s="109">
        <v>3106.8</v>
      </c>
      <c r="G22" s="109"/>
      <c r="H22" s="110">
        <v>93204</v>
      </c>
    </row>
    <row r="23" ht="21" customHeight="1" spans="1:8">
      <c r="A23" s="103"/>
      <c r="B23" s="104" t="s">
        <v>92</v>
      </c>
      <c r="C23" s="104" t="s">
        <v>91</v>
      </c>
      <c r="D23" s="108" t="s">
        <v>67</v>
      </c>
      <c r="E23" s="109">
        <v>30</v>
      </c>
      <c r="F23" s="109">
        <v>3106.8</v>
      </c>
      <c r="G23" s="109"/>
      <c r="H23" s="110">
        <v>93204</v>
      </c>
    </row>
    <row r="24" ht="18" customHeight="1" spans="1:8">
      <c r="A24" s="107" t="s">
        <v>93</v>
      </c>
      <c r="B24" s="108"/>
      <c r="C24" s="108"/>
      <c r="D24" s="108"/>
      <c r="E24" s="108"/>
      <c r="F24" s="108"/>
      <c r="G24" s="108"/>
      <c r="H24" s="111">
        <v>385149.07</v>
      </c>
    </row>
    <row r="25" ht="21" customHeight="1" spans="1:8">
      <c r="A25" s="112" t="s">
        <v>94</v>
      </c>
      <c r="B25" s="113"/>
      <c r="C25" s="113"/>
      <c r="D25" s="113"/>
      <c r="E25" s="113"/>
      <c r="F25" s="113"/>
      <c r="G25" s="113"/>
      <c r="H25" s="114">
        <v>385149.07</v>
      </c>
    </row>
  </sheetData>
  <mergeCells count="32">
    <mergeCell ref="A1:H1"/>
    <mergeCell ref="A2:D2"/>
    <mergeCell ref="E2:F2"/>
    <mergeCell ref="G2:H2"/>
    <mergeCell ref="F3:H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A24:G24"/>
    <mergeCell ref="A25:G25"/>
    <mergeCell ref="A3:A4"/>
    <mergeCell ref="B3:B4"/>
    <mergeCell ref="C3:C4"/>
    <mergeCell ref="D3:D4"/>
    <mergeCell ref="E3:E4"/>
  </mergeCells>
  <printOptions horizontalCentered="1"/>
  <pageMargins left="0.397666666666667" right="0.0018333333333333" top="0.59375" bottom="0" header="0.59375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K37"/>
  <sheetViews>
    <sheetView showGridLines="0" workbookViewId="0">
      <pane ySplit="4" topLeftCell="A5" activePane="bottomLeft" state="frozenSplit"/>
      <selection/>
      <selection pane="bottomLeft" activeCell="O22" sqref="O22"/>
    </sheetView>
  </sheetViews>
  <sheetFormatPr defaultColWidth="6.75" defaultRowHeight="20.25"/>
  <cols>
    <col min="1" max="1" width="4.875" style="3" customWidth="1"/>
    <col min="2" max="2" width="13.5" style="3" customWidth="1"/>
    <col min="3" max="3" width="27.625" style="3" customWidth="1"/>
    <col min="4" max="4" width="6.5" style="3" customWidth="1"/>
    <col min="5" max="5" width="10" style="3" customWidth="1"/>
    <col min="6" max="6" width="2.5" style="3" customWidth="1"/>
    <col min="7" max="7" width="7.625" style="3" customWidth="1"/>
    <col min="8" max="8" width="12.25" style="3" customWidth="1"/>
    <col min="9" max="9" width="6.75" style="3"/>
    <col min="10" max="17" width="0.808333333333333" style="3" customWidth="1"/>
    <col min="18" max="18" width="5.625" style="4" customWidth="1"/>
    <col min="19" max="19" width="5.625" style="5" customWidth="1"/>
    <col min="20" max="20" width="30.625" style="6" customWidth="1"/>
    <col min="21" max="21" width="15.625" style="6" customWidth="1"/>
    <col min="22" max="22" width="8.625" style="7" customWidth="1"/>
    <col min="23" max="23" width="5.625" style="8" customWidth="1"/>
    <col min="24" max="25" width="12.625" style="9" customWidth="1"/>
    <col min="26" max="26" width="5.625" style="8" customWidth="1"/>
    <col min="27" max="27" width="8.625" style="10" customWidth="1"/>
    <col min="28" max="28" width="8.625" style="11" customWidth="1"/>
    <col min="29" max="30" width="6.625" style="12" customWidth="1"/>
    <col min="31" max="31" width="10.625" style="5" customWidth="1"/>
    <col min="32" max="32" width="8.625" style="12" customWidth="1"/>
    <col min="33" max="33" width="8.625" style="13" customWidth="1"/>
    <col min="34" max="34" width="15.625" style="6" customWidth="1"/>
    <col min="35" max="35" width="1.625" style="7" customWidth="1"/>
    <col min="36" max="36" width="20.625" style="6" customWidth="1"/>
    <col min="37" max="37" width="6.625" style="7" customWidth="1"/>
    <col min="38" max="16384" width="6.75" style="3"/>
  </cols>
  <sheetData>
    <row r="1" ht="40" customHeight="1" spans="1:37">
      <c r="A1" s="14" t="s">
        <v>54</v>
      </c>
      <c r="B1" s="14"/>
      <c r="C1" s="14"/>
      <c r="D1" s="14"/>
      <c r="E1" s="15"/>
      <c r="F1" s="15"/>
      <c r="G1" s="15"/>
      <c r="H1" s="15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ht="30" customHeight="1" spans="1:37">
      <c r="A2" s="16" t="s">
        <v>95</v>
      </c>
      <c r="B2" s="16"/>
      <c r="C2" s="16"/>
      <c r="D2" s="16"/>
      <c r="E2" s="17" t="s">
        <v>56</v>
      </c>
      <c r="F2" s="17"/>
      <c r="G2" s="18" t="s">
        <v>57</v>
      </c>
      <c r="H2" s="18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</row>
    <row r="3" s="1" customFormat="1" ht="28.5" customHeight="1" spans="1:37">
      <c r="A3" s="19" t="s">
        <v>4</v>
      </c>
      <c r="B3" s="20" t="s">
        <v>58</v>
      </c>
      <c r="C3" s="20" t="s">
        <v>59</v>
      </c>
      <c r="D3" s="20" t="s">
        <v>60</v>
      </c>
      <c r="E3" s="20" t="s">
        <v>7</v>
      </c>
      <c r="F3" s="20" t="s">
        <v>61</v>
      </c>
      <c r="G3" s="20"/>
      <c r="H3" s="21"/>
      <c r="R3" s="60" t="s">
        <v>1</v>
      </c>
      <c r="S3" s="61"/>
      <c r="T3" s="61"/>
      <c r="U3" s="61"/>
      <c r="V3" s="61"/>
      <c r="W3" s="61"/>
      <c r="X3" s="61"/>
      <c r="Y3" s="61"/>
      <c r="Z3" s="87"/>
      <c r="AA3" s="60" t="s">
        <v>2</v>
      </c>
      <c r="AB3" s="88"/>
      <c r="AC3" s="61"/>
      <c r="AD3" s="61"/>
      <c r="AE3" s="61"/>
      <c r="AF3" s="61"/>
      <c r="AG3" s="61"/>
      <c r="AH3" s="87"/>
      <c r="AI3" s="60" t="s">
        <v>3</v>
      </c>
      <c r="AJ3" s="61"/>
      <c r="AK3" s="87"/>
    </row>
    <row r="4" s="2" customFormat="1" ht="28.5" customHeight="1" spans="1:37">
      <c r="A4" s="22"/>
      <c r="B4" s="23"/>
      <c r="C4" s="23"/>
      <c r="D4" s="23"/>
      <c r="E4" s="23"/>
      <c r="F4" s="23" t="s">
        <v>62</v>
      </c>
      <c r="G4" s="23"/>
      <c r="H4" s="24" t="s">
        <v>63</v>
      </c>
      <c r="R4" s="62" t="s">
        <v>4</v>
      </c>
      <c r="S4" s="63" t="s">
        <v>4</v>
      </c>
      <c r="T4" s="64" t="s">
        <v>5</v>
      </c>
      <c r="U4" s="64" t="s">
        <v>6</v>
      </c>
      <c r="V4" s="63" t="s">
        <v>7</v>
      </c>
      <c r="W4" s="63" t="s">
        <v>8</v>
      </c>
      <c r="X4" s="65" t="s">
        <v>9</v>
      </c>
      <c r="Y4" s="65" t="s">
        <v>10</v>
      </c>
      <c r="Z4" s="63" t="s">
        <v>11</v>
      </c>
      <c r="AA4" s="63" t="s">
        <v>12</v>
      </c>
      <c r="AB4" s="89" t="s">
        <v>13</v>
      </c>
      <c r="AC4" s="65" t="s">
        <v>14</v>
      </c>
      <c r="AD4" s="65" t="s">
        <v>15</v>
      </c>
      <c r="AE4" s="63" t="s">
        <v>11</v>
      </c>
      <c r="AF4" s="65" t="s">
        <v>16</v>
      </c>
      <c r="AG4" s="65" t="s">
        <v>17</v>
      </c>
      <c r="AH4" s="64" t="s">
        <v>18</v>
      </c>
      <c r="AI4" s="63"/>
      <c r="AJ4" s="64" t="s">
        <v>19</v>
      </c>
      <c r="AK4" s="63"/>
    </row>
    <row r="5" ht="30" customHeight="1" spans="1:26">
      <c r="A5" s="25"/>
      <c r="B5" s="26"/>
      <c r="C5" s="27" t="s">
        <v>96</v>
      </c>
      <c r="D5" s="26"/>
      <c r="E5" s="26"/>
      <c r="F5" s="26"/>
      <c r="G5" s="26"/>
      <c r="H5" s="28"/>
      <c r="R5" s="66">
        <v>1</v>
      </c>
      <c r="S5" s="67" t="s">
        <v>96</v>
      </c>
      <c r="T5" s="68"/>
      <c r="U5" s="68"/>
      <c r="V5" s="67"/>
      <c r="W5" s="69"/>
      <c r="X5" s="70"/>
      <c r="Y5" s="70"/>
      <c r="Z5" s="69"/>
    </row>
    <row r="6" ht="12" customHeight="1" spans="1:37">
      <c r="A6" s="29">
        <v>1</v>
      </c>
      <c r="B6" s="30" t="s">
        <v>97</v>
      </c>
      <c r="C6" s="30" t="s">
        <v>98</v>
      </c>
      <c r="D6" s="30" t="s">
        <v>99</v>
      </c>
      <c r="E6" s="30">
        <v>950.6</v>
      </c>
      <c r="F6" s="31">
        <v>3.01</v>
      </c>
      <c r="G6" s="32"/>
      <c r="H6" s="33">
        <v>2861.31</v>
      </c>
      <c r="I6" s="59"/>
      <c r="J6" s="59"/>
      <c r="K6" s="59"/>
      <c r="L6" s="59"/>
      <c r="M6" s="59"/>
      <c r="N6" s="59"/>
      <c r="O6" s="59"/>
      <c r="P6" s="59"/>
      <c r="Q6" s="59"/>
      <c r="R6" s="71"/>
      <c r="S6" s="72">
        <v>1</v>
      </c>
      <c r="T6" s="73" t="s">
        <v>98</v>
      </c>
      <c r="U6" s="73"/>
      <c r="V6" s="74"/>
      <c r="W6" s="74" t="s">
        <v>99</v>
      </c>
      <c r="X6" s="75">
        <v>3.01</v>
      </c>
      <c r="Y6" s="75">
        <f>V6*X6</f>
        <v>0</v>
      </c>
      <c r="Z6" s="74"/>
      <c r="AA6" s="90"/>
      <c r="AF6" s="91"/>
      <c r="AG6" s="91"/>
      <c r="AH6" s="78"/>
      <c r="AI6" s="77"/>
      <c r="AJ6" s="78"/>
      <c r="AK6" s="77"/>
    </row>
    <row r="7" ht="12" customHeight="1" spans="1:37">
      <c r="A7" s="34"/>
      <c r="B7" s="35"/>
      <c r="C7" s="35"/>
      <c r="D7" s="35"/>
      <c r="E7" s="35"/>
      <c r="F7" s="36"/>
      <c r="G7" s="37"/>
      <c r="H7" s="38"/>
      <c r="I7" s="59"/>
      <c r="J7" s="59"/>
      <c r="K7" s="59"/>
      <c r="L7" s="59"/>
      <c r="M7" s="59"/>
      <c r="N7" s="59"/>
      <c r="O7" s="59"/>
      <c r="P7" s="59"/>
      <c r="Q7" s="59"/>
      <c r="R7" s="76"/>
      <c r="S7" s="77"/>
      <c r="T7" s="78"/>
      <c r="U7" s="78"/>
      <c r="V7" s="77"/>
      <c r="W7" s="79"/>
      <c r="X7" s="80"/>
      <c r="Y7" s="80"/>
      <c r="Z7" s="79"/>
      <c r="AF7" s="91"/>
      <c r="AG7" s="91"/>
      <c r="AH7" s="78"/>
      <c r="AI7" s="77"/>
      <c r="AJ7" s="78"/>
      <c r="AK7" s="77"/>
    </row>
    <row r="8" ht="25.5" customHeight="1" outlineLevel="1" spans="1:8">
      <c r="A8" s="39"/>
      <c r="B8" s="40" t="s">
        <v>100</v>
      </c>
      <c r="C8" s="40" t="s">
        <v>101</v>
      </c>
      <c r="D8" s="41" t="s">
        <v>99</v>
      </c>
      <c r="E8" s="42">
        <v>950.6</v>
      </c>
      <c r="F8" s="42">
        <v>3.01</v>
      </c>
      <c r="G8" s="42"/>
      <c r="H8" s="43">
        <v>2861.31</v>
      </c>
    </row>
    <row r="9" ht="12" customHeight="1" spans="1:37">
      <c r="A9" s="29">
        <v>2</v>
      </c>
      <c r="B9" s="30" t="s">
        <v>102</v>
      </c>
      <c r="C9" s="30" t="s">
        <v>103</v>
      </c>
      <c r="D9" s="30" t="s">
        <v>99</v>
      </c>
      <c r="E9" s="30">
        <v>950.6</v>
      </c>
      <c r="F9" s="31">
        <v>50.91</v>
      </c>
      <c r="G9" s="32"/>
      <c r="H9" s="33">
        <v>48395.05</v>
      </c>
      <c r="I9" s="59"/>
      <c r="J9" s="59"/>
      <c r="K9" s="59"/>
      <c r="L9" s="59"/>
      <c r="M9" s="59"/>
      <c r="N9" s="59"/>
      <c r="O9" s="59"/>
      <c r="P9" s="59"/>
      <c r="Q9" s="59"/>
      <c r="R9" s="81"/>
      <c r="S9" s="82">
        <v>2</v>
      </c>
      <c r="T9" s="83" t="s">
        <v>103</v>
      </c>
      <c r="U9" s="83"/>
      <c r="V9" s="82"/>
      <c r="W9" s="84" t="s">
        <v>99</v>
      </c>
      <c r="X9" s="85">
        <v>50.91</v>
      </c>
      <c r="Y9" s="85">
        <f>V9*X9</f>
        <v>0</v>
      </c>
      <c r="Z9" s="84"/>
      <c r="AF9" s="91"/>
      <c r="AG9" s="91"/>
      <c r="AH9" s="78"/>
      <c r="AI9" s="77"/>
      <c r="AJ9" s="78"/>
      <c r="AK9" s="77"/>
    </row>
    <row r="10" ht="12" customHeight="1" spans="1:37">
      <c r="A10" s="44"/>
      <c r="B10" s="45"/>
      <c r="C10" s="45"/>
      <c r="D10" s="45"/>
      <c r="E10" s="45"/>
      <c r="F10" s="46"/>
      <c r="G10" s="47"/>
      <c r="H10" s="48"/>
      <c r="I10" s="59"/>
      <c r="J10" s="59"/>
      <c r="K10" s="59"/>
      <c r="L10" s="59"/>
      <c r="M10" s="59"/>
      <c r="N10" s="59"/>
      <c r="O10" s="59"/>
      <c r="P10" s="59"/>
      <c r="Q10" s="59"/>
      <c r="R10" s="81"/>
      <c r="S10" s="82"/>
      <c r="T10" s="78"/>
      <c r="U10" s="78"/>
      <c r="V10" s="77"/>
      <c r="W10" s="79"/>
      <c r="X10" s="80"/>
      <c r="Y10" s="80"/>
      <c r="Z10" s="79"/>
      <c r="AF10" s="91"/>
      <c r="AG10" s="91"/>
      <c r="AH10" s="78"/>
      <c r="AI10" s="77"/>
      <c r="AJ10" s="78"/>
      <c r="AK10" s="77"/>
    </row>
    <row r="11" ht="21" customHeight="1" outlineLevel="1" spans="1:8">
      <c r="A11" s="39"/>
      <c r="B11" s="40" t="s">
        <v>104</v>
      </c>
      <c r="C11" s="40" t="s">
        <v>105</v>
      </c>
      <c r="D11" s="41" t="s">
        <v>106</v>
      </c>
      <c r="E11" s="42">
        <v>9.506</v>
      </c>
      <c r="F11" s="42">
        <v>5091.29</v>
      </c>
      <c r="G11" s="42"/>
      <c r="H11" s="43">
        <v>48397.8</v>
      </c>
    </row>
    <row r="12" ht="12" customHeight="1" spans="1:37">
      <c r="A12" s="29">
        <v>3</v>
      </c>
      <c r="B12" s="30" t="s">
        <v>107</v>
      </c>
      <c r="C12" s="30" t="s">
        <v>108</v>
      </c>
      <c r="D12" s="30" t="s">
        <v>99</v>
      </c>
      <c r="E12" s="30">
        <v>950.6</v>
      </c>
      <c r="F12" s="31">
        <v>182.22</v>
      </c>
      <c r="G12" s="32"/>
      <c r="H12" s="33">
        <v>173218.33</v>
      </c>
      <c r="I12" s="59"/>
      <c r="J12" s="59"/>
      <c r="K12" s="59"/>
      <c r="L12" s="59"/>
      <c r="M12" s="59"/>
      <c r="N12" s="59"/>
      <c r="O12" s="59"/>
      <c r="P12" s="59"/>
      <c r="Q12" s="59"/>
      <c r="R12" s="81"/>
      <c r="S12" s="82">
        <v>3</v>
      </c>
      <c r="T12" s="83" t="s">
        <v>108</v>
      </c>
      <c r="U12" s="83"/>
      <c r="V12" s="82"/>
      <c r="W12" s="84" t="s">
        <v>99</v>
      </c>
      <c r="X12" s="85">
        <v>182.22</v>
      </c>
      <c r="Y12" s="85">
        <f>V12*X12</f>
        <v>0</v>
      </c>
      <c r="Z12" s="84"/>
      <c r="AF12" s="91"/>
      <c r="AG12" s="91"/>
      <c r="AH12" s="78"/>
      <c r="AI12" s="77"/>
      <c r="AJ12" s="78"/>
      <c r="AK12" s="77"/>
    </row>
    <row r="13" ht="12" customHeight="1" spans="1:37">
      <c r="A13" s="44"/>
      <c r="B13" s="45"/>
      <c r="C13" s="45"/>
      <c r="D13" s="45"/>
      <c r="E13" s="45"/>
      <c r="F13" s="46"/>
      <c r="G13" s="47"/>
      <c r="H13" s="48"/>
      <c r="I13" s="59"/>
      <c r="J13" s="59"/>
      <c r="K13" s="59"/>
      <c r="L13" s="59"/>
      <c r="M13" s="59"/>
      <c r="N13" s="59"/>
      <c r="O13" s="59"/>
      <c r="P13" s="59"/>
      <c r="Q13" s="59"/>
      <c r="R13" s="81"/>
      <c r="S13" s="82"/>
      <c r="T13" s="78"/>
      <c r="U13" s="78"/>
      <c r="V13" s="77"/>
      <c r="W13" s="79"/>
      <c r="X13" s="80"/>
      <c r="Y13" s="80"/>
      <c r="Z13" s="79"/>
      <c r="AF13" s="91"/>
      <c r="AG13" s="91"/>
      <c r="AH13" s="78"/>
      <c r="AI13" s="77"/>
      <c r="AJ13" s="78"/>
      <c r="AK13" s="77"/>
    </row>
    <row r="14" ht="25.5" customHeight="1" outlineLevel="1" spans="1:8">
      <c r="A14" s="39"/>
      <c r="B14" s="40" t="s">
        <v>109</v>
      </c>
      <c r="C14" s="40" t="s">
        <v>110</v>
      </c>
      <c r="D14" s="41" t="s">
        <v>106</v>
      </c>
      <c r="E14" s="42">
        <v>9.506</v>
      </c>
      <c r="F14" s="42">
        <v>12253.77</v>
      </c>
      <c r="G14" s="42"/>
      <c r="H14" s="43">
        <v>116484.34</v>
      </c>
    </row>
    <row r="15" ht="25.5" customHeight="1" outlineLevel="1" spans="1:8">
      <c r="A15" s="39"/>
      <c r="B15" s="40" t="s">
        <v>111</v>
      </c>
      <c r="C15" s="40" t="s">
        <v>112</v>
      </c>
      <c r="D15" s="41" t="s">
        <v>106</v>
      </c>
      <c r="E15" s="42">
        <v>9.506</v>
      </c>
      <c r="F15" s="42">
        <v>5967.85</v>
      </c>
      <c r="G15" s="42"/>
      <c r="H15" s="43">
        <v>56730.38</v>
      </c>
    </row>
    <row r="16" ht="12" customHeight="1" spans="1:37">
      <c r="A16" s="29">
        <v>4</v>
      </c>
      <c r="B16" s="30" t="s">
        <v>113</v>
      </c>
      <c r="C16" s="30" t="s">
        <v>114</v>
      </c>
      <c r="D16" s="30" t="s">
        <v>99</v>
      </c>
      <c r="E16" s="30">
        <v>950.6</v>
      </c>
      <c r="F16" s="31">
        <v>10.13</v>
      </c>
      <c r="G16" s="32"/>
      <c r="H16" s="33">
        <v>9629.58</v>
      </c>
      <c r="I16" s="59"/>
      <c r="J16" s="59"/>
      <c r="K16" s="59"/>
      <c r="L16" s="59"/>
      <c r="M16" s="59"/>
      <c r="N16" s="59"/>
      <c r="O16" s="59"/>
      <c r="P16" s="59"/>
      <c r="Q16" s="59"/>
      <c r="R16" s="81"/>
      <c r="S16" s="82">
        <v>4</v>
      </c>
      <c r="T16" s="83" t="s">
        <v>114</v>
      </c>
      <c r="U16" s="83"/>
      <c r="V16" s="82"/>
      <c r="W16" s="84" t="s">
        <v>115</v>
      </c>
      <c r="X16" s="85">
        <v>10.13</v>
      </c>
      <c r="Y16" s="85">
        <f>V16*X16</f>
        <v>0</v>
      </c>
      <c r="Z16" s="84"/>
      <c r="AF16" s="91"/>
      <c r="AG16" s="91"/>
      <c r="AH16" s="78"/>
      <c r="AI16" s="77"/>
      <c r="AJ16" s="78"/>
      <c r="AK16" s="77"/>
    </row>
    <row r="17" ht="12" customHeight="1" spans="1:37">
      <c r="A17" s="44"/>
      <c r="B17" s="45"/>
      <c r="C17" s="45"/>
      <c r="D17" s="45"/>
      <c r="E17" s="45"/>
      <c r="F17" s="46"/>
      <c r="G17" s="47"/>
      <c r="H17" s="48"/>
      <c r="I17" s="59"/>
      <c r="J17" s="59"/>
      <c r="K17" s="59"/>
      <c r="L17" s="59"/>
      <c r="M17" s="59"/>
      <c r="N17" s="59"/>
      <c r="O17" s="59"/>
      <c r="P17" s="59"/>
      <c r="Q17" s="59"/>
      <c r="R17" s="81"/>
      <c r="S17" s="82"/>
      <c r="T17" s="78"/>
      <c r="U17" s="78"/>
      <c r="V17" s="77"/>
      <c r="W17" s="79"/>
      <c r="X17" s="80"/>
      <c r="Y17" s="80"/>
      <c r="Z17" s="79"/>
      <c r="AF17" s="91"/>
      <c r="AG17" s="91"/>
      <c r="AH17" s="78"/>
      <c r="AI17" s="77"/>
      <c r="AJ17" s="78"/>
      <c r="AK17" s="77"/>
    </row>
    <row r="18" ht="21" customHeight="1" outlineLevel="1" spans="1:8">
      <c r="A18" s="39"/>
      <c r="B18" s="40" t="s">
        <v>116</v>
      </c>
      <c r="C18" s="40" t="s">
        <v>117</v>
      </c>
      <c r="D18" s="41" t="s">
        <v>106</v>
      </c>
      <c r="E18" s="42">
        <v>9.506</v>
      </c>
      <c r="F18" s="42">
        <v>1342.43</v>
      </c>
      <c r="G18" s="42"/>
      <c r="H18" s="43">
        <v>12761.14</v>
      </c>
    </row>
    <row r="19" ht="21" customHeight="1" outlineLevel="1" spans="1:23">
      <c r="A19" s="39"/>
      <c r="B19" s="40" t="s">
        <v>118</v>
      </c>
      <c r="C19" s="40" t="s">
        <v>119</v>
      </c>
      <c r="D19" s="41" t="s">
        <v>106</v>
      </c>
      <c r="E19" s="42">
        <v>9.506</v>
      </c>
      <c r="F19" s="42">
        <v>-329.6</v>
      </c>
      <c r="G19" s="42"/>
      <c r="H19" s="43">
        <v>-3133.18</v>
      </c>
      <c r="W19" s="8" t="s">
        <v>99</v>
      </c>
    </row>
    <row r="20" ht="21" customHeight="1" spans="1:19">
      <c r="A20" s="49">
        <v>5</v>
      </c>
      <c r="B20" s="50" t="s">
        <v>120</v>
      </c>
      <c r="C20" s="50" t="s">
        <v>121</v>
      </c>
      <c r="D20" s="51" t="s">
        <v>99</v>
      </c>
      <c r="E20" s="52">
        <v>950.6</v>
      </c>
      <c r="F20" s="52">
        <v>102.51</v>
      </c>
      <c r="G20" s="52"/>
      <c r="H20" s="53">
        <v>97446.01</v>
      </c>
      <c r="S20" s="86"/>
    </row>
    <row r="21" ht="36.75" customHeight="1" outlineLevel="1" spans="1:8">
      <c r="A21" s="39"/>
      <c r="B21" s="40" t="s">
        <v>122</v>
      </c>
      <c r="C21" s="40" t="s">
        <v>123</v>
      </c>
      <c r="D21" s="41" t="s">
        <v>106</v>
      </c>
      <c r="E21" s="42">
        <v>9.506</v>
      </c>
      <c r="F21" s="42">
        <v>11697.47</v>
      </c>
      <c r="G21" s="42"/>
      <c r="H21" s="43">
        <v>111196.15</v>
      </c>
    </row>
    <row r="22" ht="25.5" customHeight="1" outlineLevel="1" spans="1:8">
      <c r="A22" s="39"/>
      <c r="B22" s="40" t="s">
        <v>124</v>
      </c>
      <c r="C22" s="40" t="s">
        <v>125</v>
      </c>
      <c r="D22" s="41" t="s">
        <v>106</v>
      </c>
      <c r="E22" s="42">
        <v>9.506</v>
      </c>
      <c r="F22" s="42">
        <v>-1446.26</v>
      </c>
      <c r="G22" s="42"/>
      <c r="H22" s="43">
        <v>-13748.15</v>
      </c>
    </row>
    <row r="23" ht="21" customHeight="1" spans="1:19">
      <c r="A23" s="49">
        <v>6</v>
      </c>
      <c r="B23" s="50" t="s">
        <v>126</v>
      </c>
      <c r="C23" s="50" t="s">
        <v>127</v>
      </c>
      <c r="D23" s="51" t="s">
        <v>99</v>
      </c>
      <c r="E23" s="52">
        <v>950.6</v>
      </c>
      <c r="F23" s="52">
        <v>67.81</v>
      </c>
      <c r="G23" s="52"/>
      <c r="H23" s="53">
        <v>64460.19</v>
      </c>
      <c r="S23" s="86"/>
    </row>
    <row r="24" ht="36.75" customHeight="1" outlineLevel="1" spans="1:8">
      <c r="A24" s="39"/>
      <c r="B24" s="40" t="s">
        <v>128</v>
      </c>
      <c r="C24" s="40" t="s">
        <v>129</v>
      </c>
      <c r="D24" s="41" t="s">
        <v>106</v>
      </c>
      <c r="E24" s="42">
        <v>9.506</v>
      </c>
      <c r="F24" s="42">
        <v>5145.39</v>
      </c>
      <c r="G24" s="42"/>
      <c r="H24" s="43">
        <v>48912.08</v>
      </c>
    </row>
    <row r="25" ht="25.5" customHeight="1" outlineLevel="1" spans="1:8">
      <c r="A25" s="39"/>
      <c r="B25" s="40" t="s">
        <v>130</v>
      </c>
      <c r="C25" s="40" t="s">
        <v>131</v>
      </c>
      <c r="D25" s="41" t="s">
        <v>106</v>
      </c>
      <c r="E25" s="42">
        <v>9.506</v>
      </c>
      <c r="F25" s="42">
        <v>1635.83</v>
      </c>
      <c r="G25" s="42"/>
      <c r="H25" s="43">
        <v>15550.2</v>
      </c>
    </row>
    <row r="26" ht="21" customHeight="1" spans="1:19">
      <c r="A26" s="49">
        <v>7</v>
      </c>
      <c r="B26" s="50" t="s">
        <v>132</v>
      </c>
      <c r="C26" s="50" t="s">
        <v>133</v>
      </c>
      <c r="D26" s="51" t="s">
        <v>99</v>
      </c>
      <c r="E26" s="52">
        <v>36</v>
      </c>
      <c r="F26" s="52">
        <v>89.07</v>
      </c>
      <c r="G26" s="52"/>
      <c r="H26" s="53">
        <v>3206.52</v>
      </c>
      <c r="S26" s="86"/>
    </row>
    <row r="27" ht="21" customHeight="1" outlineLevel="1" spans="1:8">
      <c r="A27" s="39"/>
      <c r="B27" s="40" t="s">
        <v>134</v>
      </c>
      <c r="C27" s="40" t="s">
        <v>135</v>
      </c>
      <c r="D27" s="41" t="s">
        <v>106</v>
      </c>
      <c r="E27" s="42">
        <v>0.36</v>
      </c>
      <c r="F27" s="42">
        <v>8907.19</v>
      </c>
      <c r="G27" s="42"/>
      <c r="H27" s="43">
        <v>3206.59</v>
      </c>
    </row>
    <row r="28" ht="18" customHeight="1" spans="1:8">
      <c r="A28" s="54" t="s">
        <v>136</v>
      </c>
      <c r="B28" s="41"/>
      <c r="C28" s="41"/>
      <c r="D28" s="41"/>
      <c r="E28" s="41"/>
      <c r="F28" s="41"/>
      <c r="G28" s="41"/>
      <c r="H28" s="55">
        <v>399216.99</v>
      </c>
    </row>
    <row r="29" ht="30" customHeight="1" spans="1:26">
      <c r="A29" s="25"/>
      <c r="B29" s="26"/>
      <c r="C29" s="27" t="s">
        <v>137</v>
      </c>
      <c r="D29" s="26"/>
      <c r="E29" s="26"/>
      <c r="F29" s="26"/>
      <c r="G29" s="26"/>
      <c r="H29" s="28"/>
      <c r="R29" s="66">
        <v>2</v>
      </c>
      <c r="S29" s="67" t="s">
        <v>137</v>
      </c>
      <c r="T29" s="68"/>
      <c r="U29" s="68"/>
      <c r="V29" s="67"/>
      <c r="W29" s="69"/>
      <c r="X29" s="70"/>
      <c r="Y29" s="70"/>
      <c r="Z29" s="69"/>
    </row>
    <row r="30" ht="12" customHeight="1" spans="1:37">
      <c r="A30" s="29">
        <v>8</v>
      </c>
      <c r="B30" s="30" t="s">
        <v>138</v>
      </c>
      <c r="C30" s="30" t="s">
        <v>139</v>
      </c>
      <c r="D30" s="30" t="s">
        <v>140</v>
      </c>
      <c r="E30" s="30">
        <v>2</v>
      </c>
      <c r="F30" s="31">
        <v>4500</v>
      </c>
      <c r="G30" s="32"/>
      <c r="H30" s="33">
        <v>9000</v>
      </c>
      <c r="I30" s="59"/>
      <c r="J30" s="59"/>
      <c r="K30" s="59"/>
      <c r="L30" s="59"/>
      <c r="M30" s="59"/>
      <c r="N30" s="59"/>
      <c r="O30" s="59"/>
      <c r="P30" s="59"/>
      <c r="Q30" s="59"/>
      <c r="R30" s="81"/>
      <c r="S30" s="82">
        <v>1</v>
      </c>
      <c r="T30" s="83" t="s">
        <v>139</v>
      </c>
      <c r="U30" s="83"/>
      <c r="V30" s="82"/>
      <c r="W30" s="84" t="s">
        <v>140</v>
      </c>
      <c r="X30" s="85">
        <v>4500</v>
      </c>
      <c r="Y30" s="85">
        <f>V30*X30</f>
        <v>0</v>
      </c>
      <c r="Z30" s="84"/>
      <c r="AF30" s="91"/>
      <c r="AG30" s="91"/>
      <c r="AH30" s="78"/>
      <c r="AI30" s="77"/>
      <c r="AJ30" s="78"/>
      <c r="AK30" s="77"/>
    </row>
    <row r="31" ht="12" customHeight="1" spans="1:37">
      <c r="A31" s="44"/>
      <c r="B31" s="45"/>
      <c r="C31" s="45"/>
      <c r="D31" s="45"/>
      <c r="E31" s="45"/>
      <c r="F31" s="46"/>
      <c r="G31" s="47"/>
      <c r="H31" s="48"/>
      <c r="I31" s="59"/>
      <c r="J31" s="59"/>
      <c r="K31" s="59"/>
      <c r="L31" s="59"/>
      <c r="M31" s="59"/>
      <c r="N31" s="59"/>
      <c r="O31" s="59"/>
      <c r="P31" s="59"/>
      <c r="Q31" s="59"/>
      <c r="R31" s="81"/>
      <c r="S31" s="82"/>
      <c r="T31" s="78"/>
      <c r="U31" s="78"/>
      <c r="V31" s="77"/>
      <c r="W31" s="79"/>
      <c r="X31" s="80"/>
      <c r="Y31" s="80"/>
      <c r="Z31" s="79"/>
      <c r="AF31" s="91"/>
      <c r="AG31" s="91"/>
      <c r="AH31" s="78"/>
      <c r="AI31" s="77"/>
      <c r="AJ31" s="78"/>
      <c r="AK31" s="77"/>
    </row>
    <row r="32" ht="21" customHeight="1" outlineLevel="1" spans="1:8">
      <c r="A32" s="39"/>
      <c r="B32" s="40" t="s">
        <v>141</v>
      </c>
      <c r="C32" s="40" t="s">
        <v>142</v>
      </c>
      <c r="D32" s="41" t="s">
        <v>143</v>
      </c>
      <c r="E32" s="42">
        <v>2</v>
      </c>
      <c r="F32" s="42">
        <v>4500</v>
      </c>
      <c r="G32" s="42"/>
      <c r="H32" s="43">
        <v>9000</v>
      </c>
    </row>
    <row r="33" ht="12" customHeight="1" spans="1:37">
      <c r="A33" s="29">
        <v>9</v>
      </c>
      <c r="B33" s="30" t="s">
        <v>144</v>
      </c>
      <c r="C33" s="30" t="s">
        <v>139</v>
      </c>
      <c r="D33" s="30" t="s">
        <v>140</v>
      </c>
      <c r="E33" s="30">
        <v>1</v>
      </c>
      <c r="F33" s="31">
        <v>4700</v>
      </c>
      <c r="G33" s="32"/>
      <c r="H33" s="33">
        <v>4700</v>
      </c>
      <c r="I33" s="59"/>
      <c r="J33" s="59"/>
      <c r="K33" s="59"/>
      <c r="L33" s="59"/>
      <c r="M33" s="59"/>
      <c r="N33" s="59"/>
      <c r="O33" s="59"/>
      <c r="P33" s="59"/>
      <c r="Q33" s="59"/>
      <c r="R33" s="81"/>
      <c r="S33" s="82">
        <v>2</v>
      </c>
      <c r="T33" s="83" t="s">
        <v>139</v>
      </c>
      <c r="U33" s="83"/>
      <c r="V33" s="82"/>
      <c r="W33" s="84" t="s">
        <v>140</v>
      </c>
      <c r="X33" s="85">
        <v>4700</v>
      </c>
      <c r="Y33" s="85">
        <f>V33*X33</f>
        <v>0</v>
      </c>
      <c r="Z33" s="84"/>
      <c r="AF33" s="91"/>
      <c r="AG33" s="91"/>
      <c r="AH33" s="78"/>
      <c r="AI33" s="77"/>
      <c r="AJ33" s="78"/>
      <c r="AK33" s="77"/>
    </row>
    <row r="34" ht="12" customHeight="1" spans="1:37">
      <c r="A34" s="44"/>
      <c r="B34" s="45"/>
      <c r="C34" s="45"/>
      <c r="D34" s="45"/>
      <c r="E34" s="45"/>
      <c r="F34" s="46"/>
      <c r="G34" s="47"/>
      <c r="H34" s="48"/>
      <c r="I34" s="59"/>
      <c r="J34" s="59"/>
      <c r="K34" s="59"/>
      <c r="L34" s="59"/>
      <c r="M34" s="59"/>
      <c r="N34" s="59"/>
      <c r="O34" s="59"/>
      <c r="P34" s="59"/>
      <c r="Q34" s="59"/>
      <c r="R34" s="81"/>
      <c r="S34" s="82"/>
      <c r="T34" s="78"/>
      <c r="U34" s="78"/>
      <c r="V34" s="77"/>
      <c r="W34" s="79"/>
      <c r="X34" s="80"/>
      <c r="Y34" s="80"/>
      <c r="Z34" s="79"/>
      <c r="AF34" s="91"/>
      <c r="AG34" s="91"/>
      <c r="AH34" s="78"/>
      <c r="AI34" s="77"/>
      <c r="AJ34" s="78"/>
      <c r="AK34" s="77"/>
    </row>
    <row r="35" ht="21" customHeight="1" outlineLevel="1" spans="1:8">
      <c r="A35" s="39"/>
      <c r="B35" s="40" t="s">
        <v>145</v>
      </c>
      <c r="C35" s="40" t="s">
        <v>146</v>
      </c>
      <c r="D35" s="41" t="s">
        <v>143</v>
      </c>
      <c r="E35" s="42">
        <v>1</v>
      </c>
      <c r="F35" s="42">
        <v>4700</v>
      </c>
      <c r="G35" s="42"/>
      <c r="H35" s="43">
        <v>4700</v>
      </c>
    </row>
    <row r="36" ht="18" customHeight="1" spans="1:8">
      <c r="A36" s="54" t="s">
        <v>147</v>
      </c>
      <c r="B36" s="41"/>
      <c r="C36" s="41"/>
      <c r="D36" s="41"/>
      <c r="E36" s="41"/>
      <c r="F36" s="41"/>
      <c r="G36" s="41"/>
      <c r="H36" s="55">
        <v>13700</v>
      </c>
    </row>
    <row r="37" ht="21" customHeight="1" spans="1:8">
      <c r="A37" s="56" t="s">
        <v>94</v>
      </c>
      <c r="B37" s="57"/>
      <c r="C37" s="57"/>
      <c r="D37" s="57"/>
      <c r="E37" s="57"/>
      <c r="F37" s="57"/>
      <c r="G37" s="57"/>
      <c r="H37" s="58">
        <v>412916.99</v>
      </c>
    </row>
  </sheetData>
  <mergeCells count="223">
    <mergeCell ref="A1:H1"/>
    <mergeCell ref="A2:D2"/>
    <mergeCell ref="E2:F2"/>
    <mergeCell ref="G2:H2"/>
    <mergeCell ref="F3:H3"/>
    <mergeCell ref="R3:Z3"/>
    <mergeCell ref="AA3:AH3"/>
    <mergeCell ref="AI3:AK3"/>
    <mergeCell ref="F4:G4"/>
    <mergeCell ref="F5:G5"/>
    <mergeCell ref="S5:T5"/>
    <mergeCell ref="F8:G8"/>
    <mergeCell ref="F11:G11"/>
    <mergeCell ref="F14:G14"/>
    <mergeCell ref="F15:G15"/>
    <mergeCell ref="F18:G18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A28:G28"/>
    <mergeCell ref="F29:G29"/>
    <mergeCell ref="S29:T29"/>
    <mergeCell ref="F32:G32"/>
    <mergeCell ref="F35:G35"/>
    <mergeCell ref="A36:G36"/>
    <mergeCell ref="A37:G37"/>
    <mergeCell ref="A3:A4"/>
    <mergeCell ref="A6:A7"/>
    <mergeCell ref="A9:A10"/>
    <mergeCell ref="A12:A13"/>
    <mergeCell ref="A16:A17"/>
    <mergeCell ref="A30:A31"/>
    <mergeCell ref="A33:A34"/>
    <mergeCell ref="B3:B4"/>
    <mergeCell ref="B6:B7"/>
    <mergeCell ref="B9:B10"/>
    <mergeCell ref="B12:B13"/>
    <mergeCell ref="B16:B17"/>
    <mergeCell ref="B30:B31"/>
    <mergeCell ref="B33:B34"/>
    <mergeCell ref="C3:C4"/>
    <mergeCell ref="C6:C7"/>
    <mergeCell ref="C9:C10"/>
    <mergeCell ref="C12:C13"/>
    <mergeCell ref="C16:C17"/>
    <mergeCell ref="C30:C31"/>
    <mergeCell ref="C33:C34"/>
    <mergeCell ref="D3:D4"/>
    <mergeCell ref="D6:D7"/>
    <mergeCell ref="D9:D10"/>
    <mergeCell ref="D12:D13"/>
    <mergeCell ref="D16:D17"/>
    <mergeCell ref="D30:D31"/>
    <mergeCell ref="D33:D34"/>
    <mergeCell ref="E3:E4"/>
    <mergeCell ref="E6:E7"/>
    <mergeCell ref="E9:E10"/>
    <mergeCell ref="E12:E13"/>
    <mergeCell ref="E16:E17"/>
    <mergeCell ref="E30:E31"/>
    <mergeCell ref="E33:E34"/>
    <mergeCell ref="H6:H7"/>
    <mergeCell ref="H9:H10"/>
    <mergeCell ref="H12:H13"/>
    <mergeCell ref="H16:H17"/>
    <mergeCell ref="H30:H31"/>
    <mergeCell ref="H33:H34"/>
    <mergeCell ref="I6:I7"/>
    <mergeCell ref="I9:I10"/>
    <mergeCell ref="I12:I13"/>
    <mergeCell ref="I16:I17"/>
    <mergeCell ref="I30:I31"/>
    <mergeCell ref="I33:I34"/>
    <mergeCell ref="J6:J7"/>
    <mergeCell ref="J9:J10"/>
    <mergeCell ref="J12:J13"/>
    <mergeCell ref="J16:J17"/>
    <mergeCell ref="J30:J31"/>
    <mergeCell ref="J33:J34"/>
    <mergeCell ref="K6:K7"/>
    <mergeCell ref="K9:K10"/>
    <mergeCell ref="K12:K13"/>
    <mergeCell ref="K16:K17"/>
    <mergeCell ref="K30:K31"/>
    <mergeCell ref="K33:K34"/>
    <mergeCell ref="L6:L7"/>
    <mergeCell ref="L9:L10"/>
    <mergeCell ref="L12:L13"/>
    <mergeCell ref="L16:L17"/>
    <mergeCell ref="L30:L31"/>
    <mergeCell ref="L33:L34"/>
    <mergeCell ref="M6:M7"/>
    <mergeCell ref="M9:M10"/>
    <mergeCell ref="M12:M13"/>
    <mergeCell ref="M16:M17"/>
    <mergeCell ref="M30:M31"/>
    <mergeCell ref="M33:M34"/>
    <mergeCell ref="N6:N7"/>
    <mergeCell ref="N9:N10"/>
    <mergeCell ref="N12:N13"/>
    <mergeCell ref="N16:N17"/>
    <mergeCell ref="N30:N31"/>
    <mergeCell ref="N33:N34"/>
    <mergeCell ref="O6:O7"/>
    <mergeCell ref="O9:O10"/>
    <mergeCell ref="O12:O13"/>
    <mergeCell ref="O16:O17"/>
    <mergeCell ref="O30:O31"/>
    <mergeCell ref="O33:O34"/>
    <mergeCell ref="P6:P7"/>
    <mergeCell ref="P9:P10"/>
    <mergeCell ref="P12:P13"/>
    <mergeCell ref="P16:P17"/>
    <mergeCell ref="P30:P31"/>
    <mergeCell ref="P33:P34"/>
    <mergeCell ref="Q6:Q7"/>
    <mergeCell ref="Q9:Q10"/>
    <mergeCell ref="Q12:Q13"/>
    <mergeCell ref="Q16:Q17"/>
    <mergeCell ref="Q30:Q31"/>
    <mergeCell ref="Q33:Q34"/>
    <mergeCell ref="R6:R7"/>
    <mergeCell ref="R9:R10"/>
    <mergeCell ref="R12:R13"/>
    <mergeCell ref="R16:R17"/>
    <mergeCell ref="R30:R31"/>
    <mergeCell ref="R33:R34"/>
    <mergeCell ref="S6:S7"/>
    <mergeCell ref="S9:S10"/>
    <mergeCell ref="S12:S13"/>
    <mergeCell ref="S16:S17"/>
    <mergeCell ref="S30:S31"/>
    <mergeCell ref="S33:S34"/>
    <mergeCell ref="T6:T7"/>
    <mergeCell ref="T9:T10"/>
    <mergeCell ref="T12:T13"/>
    <mergeCell ref="T16:T17"/>
    <mergeCell ref="T30:T31"/>
    <mergeCell ref="T33:T34"/>
    <mergeCell ref="U6:U7"/>
    <mergeCell ref="U9:U10"/>
    <mergeCell ref="U12:U13"/>
    <mergeCell ref="U16:U17"/>
    <mergeCell ref="U30:U31"/>
    <mergeCell ref="U33:U34"/>
    <mergeCell ref="V6:V7"/>
    <mergeCell ref="V9:V10"/>
    <mergeCell ref="V12:V13"/>
    <mergeCell ref="V16:V17"/>
    <mergeCell ref="V30:V31"/>
    <mergeCell ref="V33:V34"/>
    <mergeCell ref="W6:W7"/>
    <mergeCell ref="W9:W10"/>
    <mergeCell ref="W12:W13"/>
    <mergeCell ref="W16:W17"/>
    <mergeCell ref="W30:W31"/>
    <mergeCell ref="W33:W34"/>
    <mergeCell ref="X6:X7"/>
    <mergeCell ref="X9:X10"/>
    <mergeCell ref="X12:X13"/>
    <mergeCell ref="X16:X17"/>
    <mergeCell ref="X30:X31"/>
    <mergeCell ref="X33:X34"/>
    <mergeCell ref="Y6:Y7"/>
    <mergeCell ref="Y9:Y10"/>
    <mergeCell ref="Y12:Y13"/>
    <mergeCell ref="Y16:Y17"/>
    <mergeCell ref="Y30:Y31"/>
    <mergeCell ref="Y33:Y34"/>
    <mergeCell ref="Z6:Z7"/>
    <mergeCell ref="Z9:Z10"/>
    <mergeCell ref="Z12:Z13"/>
    <mergeCell ref="Z16:Z17"/>
    <mergeCell ref="Z30:Z31"/>
    <mergeCell ref="Z33:Z34"/>
    <mergeCell ref="AF6:AF7"/>
    <mergeCell ref="AF9:AF10"/>
    <mergeCell ref="AF12:AF13"/>
    <mergeCell ref="AF16:AF17"/>
    <mergeCell ref="AF30:AF31"/>
    <mergeCell ref="AF33:AF34"/>
    <mergeCell ref="AG6:AG7"/>
    <mergeCell ref="AG9:AG10"/>
    <mergeCell ref="AG12:AG13"/>
    <mergeCell ref="AG16:AG17"/>
    <mergeCell ref="AG30:AG31"/>
    <mergeCell ref="AG33:AG34"/>
    <mergeCell ref="AH6:AH7"/>
    <mergeCell ref="AH9:AH10"/>
    <mergeCell ref="AH12:AH13"/>
    <mergeCell ref="AH16:AH17"/>
    <mergeCell ref="AH30:AH31"/>
    <mergeCell ref="AH33:AH34"/>
    <mergeCell ref="AI6:AI7"/>
    <mergeCell ref="AI9:AI10"/>
    <mergeCell ref="AI12:AI13"/>
    <mergeCell ref="AI16:AI17"/>
    <mergeCell ref="AI30:AI31"/>
    <mergeCell ref="AI33:AI34"/>
    <mergeCell ref="AJ6:AJ7"/>
    <mergeCell ref="AJ9:AJ10"/>
    <mergeCell ref="AJ12:AJ13"/>
    <mergeCell ref="AJ16:AJ17"/>
    <mergeCell ref="AJ30:AJ31"/>
    <mergeCell ref="AJ33:AJ34"/>
    <mergeCell ref="AK6:AK7"/>
    <mergeCell ref="AK9:AK10"/>
    <mergeCell ref="AK12:AK13"/>
    <mergeCell ref="AK16:AK17"/>
    <mergeCell ref="AK30:AK31"/>
    <mergeCell ref="AK33:AK34"/>
    <mergeCell ref="F6:G7"/>
    <mergeCell ref="F9:G10"/>
    <mergeCell ref="F12:G13"/>
    <mergeCell ref="F30:G31"/>
    <mergeCell ref="F16:G17"/>
    <mergeCell ref="F33:G34"/>
  </mergeCells>
  <dataValidations count="1">
    <dataValidation type="list" allowBlank="1" showInputMessage="1" sqref="W2:W39" errorStyle="information">
      <formula1>"m,m2,m3,个,套,株,项"</formula1>
    </dataValidation>
  </dataValidations>
  <printOptions horizontalCentered="1"/>
  <pageMargins left="0.397666666666667" right="0.0018333333333333" top="0.59375" bottom="0" header="0.59375" footer="0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readme</vt:lpstr>
      <vt:lpstr>室外家具</vt:lpstr>
      <vt:lpstr>尚礼路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晃晃悠悠</dc:creator>
  <cp:lastModifiedBy>吴咏明</cp:lastModifiedBy>
  <dcterms:created xsi:type="dcterms:W3CDTF">2020-07-10T01:10:00Z</dcterms:created>
  <dcterms:modified xsi:type="dcterms:W3CDTF">2024-08-18T17:15:40Z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2052-11.1.0.13703</vt:lpwstr>
  </property>
  <property fmtid="{D5CDD505-2E9C-101B-9397-08002B2CF9AE}" pid="3" name="ICV">
    <vt:lpwstr>346DA00142BC4417A7810C5D7EFBCD73</vt:lpwstr>
  </property>
  <property fmtid="{D5CDD505-2E9C-101B-9397-08002B2CF9AE}" pid="4" name="KSOReadingLayout">
    <vt:bool>true</vt:bool>
  </property>
</Properties>
</file>